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ki\Dropbox\--Projects_AI_OpenCode\01.App.Bolsa\"/>
    </mc:Choice>
  </mc:AlternateContent>
  <xr:revisionPtr revIDLastSave="0" documentId="13_ncr:1_{E3F1380A-78BC-49D7-91C2-3FDDD6F51EAC}" xr6:coauthVersionLast="47" xr6:coauthVersionMax="47" xr10:uidLastSave="{00000000-0000-0000-0000-000000000000}"/>
  <bookViews>
    <workbookView xWindow="-120" yWindow="-120" windowWidth="38640" windowHeight="21240" xr2:uid="{10F16EC2-33C5-4D25-8958-DDD7936F67B1}"/>
  </bookViews>
  <sheets>
    <sheet name="General" sheetId="11" r:id="rId1"/>
    <sheet name="Operaciones" sheetId="6" r:id="rId2"/>
    <sheet name="Op.por Valor" sheetId="17" r:id="rId3"/>
    <sheet name="Efectivo" sheetId="4" r:id="rId4"/>
    <sheet name="Comisiones" sheetId="20" r:id="rId5"/>
    <sheet name="Dividendos" sheetId="21" r:id="rId6"/>
    <sheet name="2026" sheetId="22" r:id="rId7"/>
    <sheet name="2025" sheetId="15" r:id="rId8"/>
    <sheet name="Listas" sheetId="8" r:id="rId9"/>
    <sheet name="PlantillaAño" sheetId="2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6" l="1"/>
  <c r="O10" i="6" s="1" a="1"/>
  <c r="O10" i="6" s="1"/>
  <c r="K10" i="6"/>
  <c r="M10" i="6" s="1"/>
  <c r="H10" i="6"/>
  <c r="N10" i="6" s="1" a="1"/>
  <c r="N10" i="6" s="1"/>
  <c r="L39" i="6"/>
  <c r="O39" i="6" s="1" a="1"/>
  <c r="O39" i="6" s="1"/>
  <c r="K39" i="6"/>
  <c r="M39" i="6" s="1"/>
  <c r="H39" i="6"/>
  <c r="N39" i="6" s="1" a="1"/>
  <c r="N39" i="6" s="1"/>
  <c r="F9" i="22"/>
  <c r="L22" i="22"/>
  <c r="O22" i="22" s="1" a="1"/>
  <c r="O22" i="22" s="1"/>
  <c r="K22" i="22"/>
  <c r="M22" i="22" s="1"/>
  <c r="H22" i="22"/>
  <c r="P22" i="22" s="1"/>
  <c r="K20" i="17"/>
  <c r="N20" i="17" s="1" a="1"/>
  <c r="N20" i="17" s="1"/>
  <c r="J20" i="17"/>
  <c r="L20" i="17" s="1"/>
  <c r="G20" i="17"/>
  <c r="O20" i="17" s="1"/>
  <c r="P10" i="6" l="1"/>
  <c r="Q10" i="6" s="1"/>
  <c r="R10" i="6" s="1"/>
  <c r="P39" i="6"/>
  <c r="Q39" i="6" s="1"/>
  <c r="R39" i="6" s="1"/>
  <c r="N22" i="22" a="1"/>
  <c r="N22" i="22" s="1"/>
  <c r="Q22" i="22" s="1"/>
  <c r="P20" i="17"/>
  <c r="Q20" i="17" s="1"/>
  <c r="M20" i="17" a="1"/>
  <c r="M20" i="17" s="1"/>
  <c r="F21" i="20"/>
  <c r="F20" i="20"/>
  <c r="F19" i="20"/>
  <c r="F18" i="20"/>
  <c r="D21" i="20"/>
  <c r="D20" i="20"/>
  <c r="D19" i="20"/>
  <c r="D18" i="20"/>
  <c r="C20" i="20"/>
  <c r="C21" i="20"/>
  <c r="C19" i="20"/>
  <c r="C18" i="20"/>
  <c r="H3" i="15"/>
  <c r="I3" i="15"/>
  <c r="J31" i="11"/>
  <c r="J32" i="11"/>
  <c r="I32" i="11"/>
  <c r="F26" i="21"/>
  <c r="M15" i="11"/>
  <c r="M14" i="11"/>
  <c r="L15" i="11"/>
  <c r="L14" i="11"/>
  <c r="H32" i="11"/>
  <c r="L3" i="22"/>
  <c r="K3" i="22"/>
  <c r="L3" i="15"/>
  <c r="Q27" i="21"/>
  <c r="P27" i="21"/>
  <c r="M27" i="21"/>
  <c r="L27" i="21"/>
  <c r="I27" i="21"/>
  <c r="G5" i="21" s="1"/>
  <c r="K15" i="11" s="1"/>
  <c r="H27" i="21"/>
  <c r="F5" i="21" s="1"/>
  <c r="K14" i="11" s="1"/>
  <c r="E27" i="21"/>
  <c r="D27" i="21"/>
  <c r="R26" i="21"/>
  <c r="N26" i="21"/>
  <c r="R25" i="21"/>
  <c r="N25" i="21"/>
  <c r="Q20" i="21"/>
  <c r="M5" i="21" s="1"/>
  <c r="P20" i="21"/>
  <c r="M20" i="21"/>
  <c r="L20" i="21"/>
  <c r="I5" i="21" s="1"/>
  <c r="I20" i="21"/>
  <c r="H20" i="21"/>
  <c r="E20" i="21"/>
  <c r="D20" i="21"/>
  <c r="R19" i="21"/>
  <c r="N19" i="21"/>
  <c r="J19" i="21"/>
  <c r="F19" i="21"/>
  <c r="R18" i="21"/>
  <c r="N18" i="21"/>
  <c r="J18" i="21"/>
  <c r="F18" i="21"/>
  <c r="R17" i="21"/>
  <c r="N17" i="21"/>
  <c r="J17" i="21"/>
  <c r="F17" i="21"/>
  <c r="S17" i="21" s="1"/>
  <c r="R16" i="21"/>
  <c r="N16" i="21"/>
  <c r="J16" i="21"/>
  <c r="F16" i="21"/>
  <c r="R15" i="21"/>
  <c r="N15" i="21"/>
  <c r="J15" i="21"/>
  <c r="F15" i="21"/>
  <c r="R14" i="21"/>
  <c r="N14" i="21"/>
  <c r="S14" i="21" s="1"/>
  <c r="R13" i="21"/>
  <c r="N13" i="21"/>
  <c r="J13" i="21"/>
  <c r="F16" i="15"/>
  <c r="F14" i="15"/>
  <c r="F11" i="15"/>
  <c r="F6" i="15"/>
  <c r="L22" i="15"/>
  <c r="O22" i="15" s="1" a="1"/>
  <c r="O22" i="15" s="1"/>
  <c r="K22" i="15"/>
  <c r="M22" i="15" s="1"/>
  <c r="H22" i="15"/>
  <c r="P22" i="15" s="1"/>
  <c r="L23" i="15"/>
  <c r="O23" i="15" s="1" a="1"/>
  <c r="O23" i="15" s="1"/>
  <c r="K23" i="15"/>
  <c r="M23" i="15" s="1"/>
  <c r="H23" i="15"/>
  <c r="L24" i="15"/>
  <c r="O24" i="15" s="1" a="1"/>
  <c r="O24" i="15" s="1"/>
  <c r="K24" i="15"/>
  <c r="M24" i="15" s="1"/>
  <c r="H24" i="15"/>
  <c r="L25" i="15"/>
  <c r="O25" i="15" s="1" a="1"/>
  <c r="O25" i="15" s="1"/>
  <c r="K25" i="15"/>
  <c r="M25" i="15" s="1"/>
  <c r="H25" i="15"/>
  <c r="P25" i="15" s="1"/>
  <c r="M42" i="15"/>
  <c r="L42" i="15"/>
  <c r="K42" i="15"/>
  <c r="J42" i="15"/>
  <c r="G42" i="15"/>
  <c r="F42" i="15"/>
  <c r="D42" i="15"/>
  <c r="O42" i="15"/>
  <c r="J37" i="15"/>
  <c r="G37" i="15"/>
  <c r="F37" i="15"/>
  <c r="D37" i="15"/>
  <c r="K37" i="15"/>
  <c r="L37" i="15"/>
  <c r="J32" i="15"/>
  <c r="G32" i="15"/>
  <c r="F32" i="15"/>
  <c r="D32" i="15"/>
  <c r="L32" i="15"/>
  <c r="J27" i="15"/>
  <c r="G27" i="15"/>
  <c r="F27" i="15"/>
  <c r="D27" i="15"/>
  <c r="V17" i="15"/>
  <c r="T17" i="15"/>
  <c r="S17" i="15"/>
  <c r="R17" i="15"/>
  <c r="Q17" i="15"/>
  <c r="O17" i="15"/>
  <c r="N17" i="15"/>
  <c r="M17" i="15"/>
  <c r="L17" i="15"/>
  <c r="J17" i="15"/>
  <c r="I17" i="15"/>
  <c r="H17" i="15"/>
  <c r="G17" i="15"/>
  <c r="E17" i="15"/>
  <c r="D17" i="15"/>
  <c r="C17" i="15"/>
  <c r="V16" i="15"/>
  <c r="T16" i="15"/>
  <c r="S16" i="15"/>
  <c r="R16" i="15"/>
  <c r="Q16" i="15"/>
  <c r="O16" i="15"/>
  <c r="N16" i="15"/>
  <c r="M16" i="15"/>
  <c r="L16" i="15"/>
  <c r="J16" i="15"/>
  <c r="I16" i="15"/>
  <c r="H16" i="15"/>
  <c r="G16" i="15"/>
  <c r="V15" i="15"/>
  <c r="T15" i="15"/>
  <c r="S15" i="15"/>
  <c r="R15" i="15"/>
  <c r="Q15" i="15"/>
  <c r="O15" i="15"/>
  <c r="N15" i="15"/>
  <c r="M15" i="15"/>
  <c r="L15" i="15"/>
  <c r="G15" i="15"/>
  <c r="E15" i="15"/>
  <c r="D15" i="15"/>
  <c r="C15" i="15"/>
  <c r="V14" i="15"/>
  <c r="T14" i="15"/>
  <c r="S14" i="15"/>
  <c r="R14" i="15"/>
  <c r="Q14" i="15"/>
  <c r="O14" i="15"/>
  <c r="N14" i="15"/>
  <c r="M14" i="15"/>
  <c r="L14" i="15"/>
  <c r="G14" i="15"/>
  <c r="V13" i="15"/>
  <c r="T13" i="15"/>
  <c r="S13" i="15"/>
  <c r="R13" i="15"/>
  <c r="Q13" i="15"/>
  <c r="O13" i="15"/>
  <c r="N13" i="15"/>
  <c r="M13" i="15"/>
  <c r="L13" i="15"/>
  <c r="J13" i="15"/>
  <c r="I13" i="15"/>
  <c r="H13" i="15"/>
  <c r="G13" i="15"/>
  <c r="E13" i="15"/>
  <c r="D13" i="15"/>
  <c r="C13" i="15"/>
  <c r="V12" i="15"/>
  <c r="T12" i="15"/>
  <c r="S12" i="15"/>
  <c r="R12" i="15"/>
  <c r="Q12" i="15"/>
  <c r="O12" i="15"/>
  <c r="N12" i="15"/>
  <c r="M12" i="15"/>
  <c r="L12" i="15"/>
  <c r="G12" i="15"/>
  <c r="E12" i="15"/>
  <c r="D12" i="15"/>
  <c r="C12" i="15"/>
  <c r="V11" i="15"/>
  <c r="T11" i="15"/>
  <c r="S11" i="15"/>
  <c r="R11" i="15"/>
  <c r="Q11" i="15"/>
  <c r="L11" i="15"/>
  <c r="J11" i="15"/>
  <c r="I11" i="15"/>
  <c r="H11" i="15"/>
  <c r="G11" i="15"/>
  <c r="V10" i="15"/>
  <c r="T10" i="15"/>
  <c r="S10" i="15"/>
  <c r="R10" i="15"/>
  <c r="Q10" i="15"/>
  <c r="L10" i="15"/>
  <c r="J10" i="15"/>
  <c r="I10" i="15"/>
  <c r="H10" i="15"/>
  <c r="G10" i="15"/>
  <c r="E10" i="15"/>
  <c r="D10" i="15"/>
  <c r="C10" i="15"/>
  <c r="V9" i="15"/>
  <c r="Q9" i="15"/>
  <c r="O9" i="15"/>
  <c r="N9" i="15"/>
  <c r="M9" i="15"/>
  <c r="L9" i="15"/>
  <c r="J9" i="15"/>
  <c r="I9" i="15"/>
  <c r="H9" i="15"/>
  <c r="G9" i="15"/>
  <c r="V8" i="15"/>
  <c r="T8" i="15"/>
  <c r="S8" i="15"/>
  <c r="R8" i="15"/>
  <c r="Q8" i="15"/>
  <c r="O8" i="15"/>
  <c r="N8" i="15"/>
  <c r="M8" i="15"/>
  <c r="L8" i="15"/>
  <c r="J8" i="15"/>
  <c r="I8" i="15"/>
  <c r="H8" i="15"/>
  <c r="G8" i="15"/>
  <c r="E8" i="15"/>
  <c r="D8" i="15"/>
  <c r="C8" i="15"/>
  <c r="V7" i="15"/>
  <c r="T7" i="15"/>
  <c r="S7" i="15"/>
  <c r="R7" i="15"/>
  <c r="Q7" i="15"/>
  <c r="O7" i="15"/>
  <c r="N7" i="15"/>
  <c r="M7" i="15"/>
  <c r="L7" i="15"/>
  <c r="G7" i="15"/>
  <c r="V6" i="15"/>
  <c r="S6" i="15"/>
  <c r="T6" i="15" s="1"/>
  <c r="R6" i="15"/>
  <c r="Q6" i="15"/>
  <c r="O6" i="15"/>
  <c r="P6" i="15" s="1"/>
  <c r="N6" i="15"/>
  <c r="M6" i="15"/>
  <c r="L6" i="15"/>
  <c r="J6" i="15"/>
  <c r="K6" i="15" s="1"/>
  <c r="I6" i="15"/>
  <c r="H6" i="15"/>
  <c r="G6" i="15"/>
  <c r="E6" i="15"/>
  <c r="D6" i="15"/>
  <c r="C6" i="15"/>
  <c r="S39" i="22"/>
  <c r="Q39" i="22"/>
  <c r="R39" i="22" s="1"/>
  <c r="P39" i="22"/>
  <c r="O39" i="22"/>
  <c r="N39" i="22"/>
  <c r="E39" i="22" s="1"/>
  <c r="M39" i="22"/>
  <c r="L39" i="22"/>
  <c r="K39" i="22"/>
  <c r="J39" i="22"/>
  <c r="H39" i="22"/>
  <c r="G39" i="22"/>
  <c r="F39" i="22"/>
  <c r="D39" i="22"/>
  <c r="S34" i="22"/>
  <c r="Q34" i="22"/>
  <c r="R34" i="22" s="1"/>
  <c r="P34" i="22"/>
  <c r="O34" i="22"/>
  <c r="N34" i="22"/>
  <c r="M34" i="22"/>
  <c r="L34" i="22"/>
  <c r="K34" i="22"/>
  <c r="J34" i="22"/>
  <c r="H34" i="22"/>
  <c r="G34" i="22"/>
  <c r="F34" i="22"/>
  <c r="D34" i="22"/>
  <c r="S29" i="22"/>
  <c r="Q29" i="22"/>
  <c r="R29" i="22" s="1"/>
  <c r="P29" i="22"/>
  <c r="O29" i="22"/>
  <c r="N29" i="22"/>
  <c r="M29" i="22"/>
  <c r="L29" i="22"/>
  <c r="K29" i="22"/>
  <c r="J29" i="22"/>
  <c r="H29" i="22"/>
  <c r="G29" i="22"/>
  <c r="F29" i="22"/>
  <c r="D29" i="22"/>
  <c r="P24" i="22"/>
  <c r="O24" i="22"/>
  <c r="M24" i="22"/>
  <c r="L24" i="22"/>
  <c r="K24" i="22"/>
  <c r="J24" i="22"/>
  <c r="H24" i="22"/>
  <c r="G24" i="22"/>
  <c r="F24" i="22"/>
  <c r="D24" i="22"/>
  <c r="V17" i="22"/>
  <c r="T17" i="22"/>
  <c r="S17" i="22"/>
  <c r="R17" i="22"/>
  <c r="Q17" i="22"/>
  <c r="O17" i="22"/>
  <c r="N17" i="22"/>
  <c r="M17" i="22"/>
  <c r="L17" i="22"/>
  <c r="J17" i="22"/>
  <c r="I17" i="22"/>
  <c r="H17" i="22"/>
  <c r="G17" i="22"/>
  <c r="E17" i="22"/>
  <c r="D17" i="22"/>
  <c r="C17" i="22"/>
  <c r="V16" i="22"/>
  <c r="T16" i="22"/>
  <c r="S16" i="22"/>
  <c r="R16" i="22"/>
  <c r="Q16" i="22"/>
  <c r="O16" i="22"/>
  <c r="N16" i="22"/>
  <c r="M16" i="22"/>
  <c r="L16" i="22"/>
  <c r="J16" i="22"/>
  <c r="I16" i="22"/>
  <c r="H16" i="22"/>
  <c r="G16" i="22"/>
  <c r="E16" i="22"/>
  <c r="D16" i="22"/>
  <c r="C16" i="22"/>
  <c r="V15" i="22"/>
  <c r="T15" i="22"/>
  <c r="S15" i="22"/>
  <c r="R15" i="22"/>
  <c r="Q15" i="22"/>
  <c r="O15" i="22"/>
  <c r="N15" i="22"/>
  <c r="M15" i="22"/>
  <c r="L15" i="22"/>
  <c r="J15" i="22"/>
  <c r="I15" i="22"/>
  <c r="H15" i="22"/>
  <c r="G15" i="22"/>
  <c r="E15" i="22"/>
  <c r="D15" i="22"/>
  <c r="C15" i="22"/>
  <c r="V14" i="22"/>
  <c r="T14" i="22"/>
  <c r="S14" i="22"/>
  <c r="R14" i="22"/>
  <c r="Q14" i="22"/>
  <c r="O14" i="22"/>
  <c r="N14" i="22"/>
  <c r="M14" i="22"/>
  <c r="L14" i="22"/>
  <c r="J14" i="22"/>
  <c r="I14" i="22"/>
  <c r="H14" i="22"/>
  <c r="G14" i="22"/>
  <c r="E14" i="22"/>
  <c r="D14" i="22"/>
  <c r="C14" i="22"/>
  <c r="V13" i="22"/>
  <c r="T13" i="22"/>
  <c r="S13" i="22"/>
  <c r="R13" i="22"/>
  <c r="Q13" i="22"/>
  <c r="O13" i="22"/>
  <c r="N13" i="22"/>
  <c r="M13" i="22"/>
  <c r="L13" i="22"/>
  <c r="J13" i="22"/>
  <c r="I13" i="22"/>
  <c r="H13" i="22"/>
  <c r="G13" i="22"/>
  <c r="E13" i="22"/>
  <c r="D13" i="22"/>
  <c r="C13" i="22"/>
  <c r="V12" i="22"/>
  <c r="T12" i="22"/>
  <c r="S12" i="22"/>
  <c r="R12" i="22"/>
  <c r="Q12" i="22"/>
  <c r="O12" i="22"/>
  <c r="N12" i="22"/>
  <c r="M12" i="22"/>
  <c r="L12" i="22"/>
  <c r="J12" i="22"/>
  <c r="I12" i="22"/>
  <c r="H12" i="22"/>
  <c r="G12" i="22"/>
  <c r="E12" i="22"/>
  <c r="D12" i="22"/>
  <c r="C12" i="22"/>
  <c r="V11" i="22"/>
  <c r="T11" i="22"/>
  <c r="S11" i="22"/>
  <c r="R11" i="22"/>
  <c r="Q11" i="22"/>
  <c r="O11" i="22"/>
  <c r="N11" i="22"/>
  <c r="M11" i="22"/>
  <c r="L11" i="22"/>
  <c r="J11" i="22"/>
  <c r="I11" i="22"/>
  <c r="H11" i="22"/>
  <c r="G11" i="22"/>
  <c r="E11" i="22"/>
  <c r="D11" i="22"/>
  <c r="C11" i="22"/>
  <c r="V10" i="22"/>
  <c r="T10" i="22"/>
  <c r="S10" i="22"/>
  <c r="R10" i="22"/>
  <c r="Q10" i="22"/>
  <c r="O10" i="22"/>
  <c r="N10" i="22"/>
  <c r="M10" i="22"/>
  <c r="L10" i="22"/>
  <c r="J10" i="22"/>
  <c r="I10" i="22"/>
  <c r="H10" i="22"/>
  <c r="G10" i="22"/>
  <c r="E10" i="22"/>
  <c r="D10" i="22"/>
  <c r="C10" i="22"/>
  <c r="V9" i="22"/>
  <c r="T9" i="22"/>
  <c r="S9" i="22"/>
  <c r="R9" i="22"/>
  <c r="Q9" i="22"/>
  <c r="O9" i="22"/>
  <c r="N9" i="22"/>
  <c r="M9" i="22"/>
  <c r="L9" i="22"/>
  <c r="J9" i="22"/>
  <c r="I9" i="22"/>
  <c r="H9" i="22"/>
  <c r="G9" i="22"/>
  <c r="D9" i="22"/>
  <c r="C9" i="22"/>
  <c r="V8" i="22"/>
  <c r="T8" i="22"/>
  <c r="S8" i="22"/>
  <c r="R8" i="22"/>
  <c r="Q8" i="22"/>
  <c r="O8" i="22"/>
  <c r="N8" i="22"/>
  <c r="M8" i="22"/>
  <c r="L8" i="22"/>
  <c r="J8" i="22"/>
  <c r="I8" i="22"/>
  <c r="H8" i="22"/>
  <c r="G8" i="22"/>
  <c r="E8" i="22"/>
  <c r="D8" i="22"/>
  <c r="C8" i="22"/>
  <c r="V7" i="22"/>
  <c r="T7" i="22"/>
  <c r="S7" i="22"/>
  <c r="R7" i="22"/>
  <c r="Q7" i="22"/>
  <c r="O7" i="22"/>
  <c r="N7" i="22"/>
  <c r="M7" i="22"/>
  <c r="L7" i="22"/>
  <c r="J7" i="22"/>
  <c r="I7" i="22"/>
  <c r="H7" i="22"/>
  <c r="G7" i="22"/>
  <c r="E7" i="22"/>
  <c r="D7" i="22"/>
  <c r="C7" i="22"/>
  <c r="V6" i="22"/>
  <c r="T6" i="22"/>
  <c r="S6" i="22"/>
  <c r="R6" i="22"/>
  <c r="Q6" i="22"/>
  <c r="O6" i="22"/>
  <c r="N6" i="22"/>
  <c r="M6" i="22"/>
  <c r="L6" i="22"/>
  <c r="J6" i="22"/>
  <c r="I6" i="22"/>
  <c r="H6" i="22"/>
  <c r="G6" i="22"/>
  <c r="E6" i="22"/>
  <c r="D6" i="22"/>
  <c r="C6" i="22"/>
  <c r="S39" i="23"/>
  <c r="Q39" i="23"/>
  <c r="R39" i="23" s="1"/>
  <c r="P39" i="23"/>
  <c r="O39" i="23"/>
  <c r="N39" i="23"/>
  <c r="E39" i="23" s="1"/>
  <c r="M39" i="23"/>
  <c r="L39" i="23"/>
  <c r="K39" i="23"/>
  <c r="J39" i="23"/>
  <c r="I39" i="23"/>
  <c r="T39" i="23" s="1"/>
  <c r="H39" i="23"/>
  <c r="G39" i="23"/>
  <c r="F39" i="23"/>
  <c r="D39" i="23"/>
  <c r="S34" i="23"/>
  <c r="Q34" i="23"/>
  <c r="R34" i="23" s="1"/>
  <c r="P34" i="23"/>
  <c r="O34" i="23"/>
  <c r="I34" i="23" s="1"/>
  <c r="N34" i="23"/>
  <c r="E34" i="23" s="1"/>
  <c r="M34" i="23"/>
  <c r="L34" i="23"/>
  <c r="K34" i="23"/>
  <c r="J34" i="23"/>
  <c r="H34" i="23"/>
  <c r="G34" i="23"/>
  <c r="F34" i="23"/>
  <c r="D34" i="23"/>
  <c r="S29" i="23"/>
  <c r="Q29" i="23"/>
  <c r="R29" i="23" s="1"/>
  <c r="P29" i="23"/>
  <c r="O29" i="23"/>
  <c r="N29" i="23"/>
  <c r="M29" i="23"/>
  <c r="L29" i="23"/>
  <c r="K29" i="23"/>
  <c r="J29" i="23"/>
  <c r="I29" i="23"/>
  <c r="H29" i="23"/>
  <c r="E29" i="23" s="1"/>
  <c r="T29" i="23" s="1"/>
  <c r="G29" i="23"/>
  <c r="F29" i="23"/>
  <c r="D29" i="23"/>
  <c r="S24" i="23"/>
  <c r="Q24" i="23"/>
  <c r="R24" i="23" s="1"/>
  <c r="P24" i="23"/>
  <c r="O24" i="23"/>
  <c r="N24" i="23"/>
  <c r="E24" i="23" s="1"/>
  <c r="M24" i="23"/>
  <c r="L24" i="23"/>
  <c r="I24" i="23" s="1"/>
  <c r="T24" i="23" s="1"/>
  <c r="K24" i="23"/>
  <c r="J24" i="23"/>
  <c r="H24" i="23"/>
  <c r="G24" i="23"/>
  <c r="F24" i="23"/>
  <c r="D24" i="23"/>
  <c r="S18" i="23"/>
  <c r="G18" i="23"/>
  <c r="V17" i="23"/>
  <c r="T17" i="23"/>
  <c r="S17" i="23"/>
  <c r="R17" i="23"/>
  <c r="Q17" i="23"/>
  <c r="O17" i="23"/>
  <c r="N17" i="23"/>
  <c r="M17" i="23"/>
  <c r="L17" i="23"/>
  <c r="J17" i="23"/>
  <c r="I17" i="23"/>
  <c r="H17" i="23"/>
  <c r="G17" i="23"/>
  <c r="E17" i="23"/>
  <c r="D17" i="23"/>
  <c r="C17" i="23"/>
  <c r="V16" i="23"/>
  <c r="T16" i="23"/>
  <c r="S16" i="23"/>
  <c r="R16" i="23"/>
  <c r="Q16" i="23"/>
  <c r="O16" i="23"/>
  <c r="N16" i="23"/>
  <c r="M16" i="23"/>
  <c r="L16" i="23"/>
  <c r="J16" i="23"/>
  <c r="I16" i="23"/>
  <c r="H16" i="23"/>
  <c r="G16" i="23"/>
  <c r="E16" i="23"/>
  <c r="D16" i="23"/>
  <c r="C16" i="23"/>
  <c r="V15" i="23"/>
  <c r="T15" i="23"/>
  <c r="S15" i="23"/>
  <c r="R15" i="23"/>
  <c r="Q15" i="23"/>
  <c r="O15" i="23"/>
  <c r="N15" i="23"/>
  <c r="M15" i="23"/>
  <c r="L15" i="23"/>
  <c r="J15" i="23"/>
  <c r="I15" i="23"/>
  <c r="H15" i="23"/>
  <c r="G15" i="23"/>
  <c r="E15" i="23"/>
  <c r="D15" i="23"/>
  <c r="C15" i="23"/>
  <c r="V14" i="23"/>
  <c r="T14" i="23"/>
  <c r="S14" i="23"/>
  <c r="R14" i="23"/>
  <c r="Q14" i="23"/>
  <c r="O14" i="23"/>
  <c r="N14" i="23"/>
  <c r="M14" i="23"/>
  <c r="L14" i="23"/>
  <c r="J14" i="23"/>
  <c r="I14" i="23"/>
  <c r="H14" i="23"/>
  <c r="G14" i="23"/>
  <c r="E14" i="23"/>
  <c r="D14" i="23"/>
  <c r="C14" i="23"/>
  <c r="V13" i="23"/>
  <c r="T13" i="23"/>
  <c r="S13" i="23"/>
  <c r="R13" i="23"/>
  <c r="Q13" i="23"/>
  <c r="O13" i="23"/>
  <c r="N13" i="23"/>
  <c r="M13" i="23"/>
  <c r="L13" i="23"/>
  <c r="J13" i="23"/>
  <c r="I13" i="23"/>
  <c r="H13" i="23"/>
  <c r="G13" i="23"/>
  <c r="E13" i="23"/>
  <c r="D13" i="23"/>
  <c r="C13" i="23"/>
  <c r="V12" i="23"/>
  <c r="T12" i="23"/>
  <c r="S12" i="23"/>
  <c r="R12" i="23"/>
  <c r="Q12" i="23"/>
  <c r="O12" i="23"/>
  <c r="N12" i="23"/>
  <c r="M12" i="23"/>
  <c r="L12" i="23"/>
  <c r="J12" i="23"/>
  <c r="I12" i="23"/>
  <c r="H12" i="23"/>
  <c r="G12" i="23"/>
  <c r="E12" i="23"/>
  <c r="D12" i="23"/>
  <c r="C12" i="23"/>
  <c r="V11" i="23"/>
  <c r="T11" i="23"/>
  <c r="S11" i="23"/>
  <c r="R11" i="23"/>
  <c r="Q11" i="23"/>
  <c r="O11" i="23"/>
  <c r="N11" i="23"/>
  <c r="M11" i="23"/>
  <c r="L11" i="23"/>
  <c r="J11" i="23"/>
  <c r="I11" i="23"/>
  <c r="H11" i="23"/>
  <c r="G11" i="23"/>
  <c r="E11" i="23"/>
  <c r="D11" i="23"/>
  <c r="C11" i="23"/>
  <c r="V10" i="23"/>
  <c r="T10" i="23"/>
  <c r="S10" i="23"/>
  <c r="R10" i="23"/>
  <c r="Q10" i="23"/>
  <c r="O10" i="23"/>
  <c r="N10" i="23"/>
  <c r="M10" i="23"/>
  <c r="L10" i="23"/>
  <c r="J10" i="23"/>
  <c r="I10" i="23"/>
  <c r="H10" i="23"/>
  <c r="G10" i="23"/>
  <c r="E10" i="23"/>
  <c r="D10" i="23"/>
  <c r="C10" i="23"/>
  <c r="V9" i="23"/>
  <c r="T9" i="23"/>
  <c r="S9" i="23"/>
  <c r="R9" i="23"/>
  <c r="Q9" i="23"/>
  <c r="O9" i="23"/>
  <c r="N9" i="23"/>
  <c r="M9" i="23"/>
  <c r="L9" i="23"/>
  <c r="J9" i="23"/>
  <c r="J18" i="23" s="1"/>
  <c r="I9" i="23"/>
  <c r="I18" i="23" s="1"/>
  <c r="H9" i="23"/>
  <c r="H18" i="23" s="1"/>
  <c r="G9" i="23"/>
  <c r="E9" i="23"/>
  <c r="D9" i="23"/>
  <c r="C9" i="23"/>
  <c r="V8" i="23"/>
  <c r="T8" i="23"/>
  <c r="S8" i="23"/>
  <c r="R8" i="23"/>
  <c r="Q8" i="23"/>
  <c r="O8" i="23"/>
  <c r="N8" i="23"/>
  <c r="M8" i="23"/>
  <c r="L8" i="23"/>
  <c r="J8" i="23"/>
  <c r="I8" i="23"/>
  <c r="H8" i="23"/>
  <c r="G8" i="23"/>
  <c r="E8" i="23"/>
  <c r="D8" i="23"/>
  <c r="C8" i="23"/>
  <c r="V7" i="23"/>
  <c r="V18" i="23" s="1"/>
  <c r="T7" i="23"/>
  <c r="S7" i="23"/>
  <c r="R7" i="23"/>
  <c r="Q7" i="23"/>
  <c r="O7" i="23"/>
  <c r="N7" i="23"/>
  <c r="M7" i="23"/>
  <c r="L7" i="23"/>
  <c r="J7" i="23"/>
  <c r="I7" i="23"/>
  <c r="H7" i="23"/>
  <c r="G7" i="23"/>
  <c r="E7" i="23"/>
  <c r="D7" i="23"/>
  <c r="C7" i="23"/>
  <c r="V6" i="23"/>
  <c r="T6" i="23"/>
  <c r="U6" i="23" s="1"/>
  <c r="S6" i="23"/>
  <c r="R6" i="23"/>
  <c r="R18" i="23" s="1"/>
  <c r="Q6" i="23"/>
  <c r="Q18" i="23" s="1"/>
  <c r="O6" i="23"/>
  <c r="O18" i="23" s="1"/>
  <c r="N6" i="23"/>
  <c r="N18" i="23" s="1"/>
  <c r="M6" i="23"/>
  <c r="M18" i="23" s="1"/>
  <c r="L6" i="23"/>
  <c r="L18" i="23" s="1"/>
  <c r="K6" i="23"/>
  <c r="J6" i="23"/>
  <c r="I6" i="23"/>
  <c r="H6" i="23"/>
  <c r="G6" i="23"/>
  <c r="E6" i="23"/>
  <c r="E18" i="23" s="1"/>
  <c r="D6" i="23"/>
  <c r="D18" i="23" s="1"/>
  <c r="C6" i="23"/>
  <c r="C18" i="23" s="1"/>
  <c r="J17" i="4"/>
  <c r="I17" i="4"/>
  <c r="H17" i="4"/>
  <c r="G17" i="4"/>
  <c r="F17" i="4"/>
  <c r="K13" i="17"/>
  <c r="N13" i="17" s="1" a="1"/>
  <c r="N13" i="17" s="1"/>
  <c r="J13" i="17"/>
  <c r="L13" i="17" s="1"/>
  <c r="G13" i="17"/>
  <c r="M13" i="17" s="1" a="1"/>
  <c r="M13" i="17" s="1"/>
  <c r="K12" i="17"/>
  <c r="N12" i="17" s="1" a="1"/>
  <c r="N12" i="17" s="1"/>
  <c r="J12" i="17"/>
  <c r="L12" i="17" s="1"/>
  <c r="G12" i="17"/>
  <c r="K11" i="17"/>
  <c r="N11" i="17" s="1" a="1"/>
  <c r="N11" i="17" s="1"/>
  <c r="J11" i="17"/>
  <c r="L11" i="17" s="1"/>
  <c r="G11" i="17"/>
  <c r="K4" i="17"/>
  <c r="N4" i="17" s="1" a="1"/>
  <c r="N4" i="17" s="1"/>
  <c r="J4" i="17"/>
  <c r="L4" i="17" s="1"/>
  <c r="G4" i="17"/>
  <c r="M4" i="17" s="1" a="1"/>
  <c r="M4" i="17" s="1"/>
  <c r="S64" i="6"/>
  <c r="Q64" i="6"/>
  <c r="P64" i="6"/>
  <c r="O64" i="6"/>
  <c r="N64" i="6"/>
  <c r="M64" i="6"/>
  <c r="L64" i="6"/>
  <c r="K64" i="6"/>
  <c r="J64" i="6"/>
  <c r="H64" i="6"/>
  <c r="G64" i="6"/>
  <c r="F64" i="6"/>
  <c r="D64" i="6"/>
  <c r="S58" i="6"/>
  <c r="Q58" i="6"/>
  <c r="P58" i="6"/>
  <c r="O58" i="6"/>
  <c r="N58" i="6"/>
  <c r="M58" i="6"/>
  <c r="L58" i="6"/>
  <c r="K58" i="6"/>
  <c r="J58" i="6"/>
  <c r="H58" i="6"/>
  <c r="G58" i="6"/>
  <c r="F58" i="6"/>
  <c r="D58" i="6"/>
  <c r="S52" i="6"/>
  <c r="Q52" i="6"/>
  <c r="P52" i="6"/>
  <c r="O52" i="6"/>
  <c r="N52" i="6"/>
  <c r="M52" i="6"/>
  <c r="L52" i="6"/>
  <c r="K52" i="6"/>
  <c r="J52" i="6"/>
  <c r="H52" i="6"/>
  <c r="G52" i="6"/>
  <c r="F52" i="6"/>
  <c r="J46" i="6"/>
  <c r="G46" i="6"/>
  <c r="F46" i="6"/>
  <c r="D46" i="6"/>
  <c r="D52" i="6"/>
  <c r="L41" i="6"/>
  <c r="O41" i="6" s="1" a="1"/>
  <c r="O41" i="6" s="1"/>
  <c r="K41" i="6"/>
  <c r="M41" i="6" s="1"/>
  <c r="H41" i="6"/>
  <c r="P41" i="6" s="1"/>
  <c r="L42" i="6"/>
  <c r="O42" i="6" s="1" a="1"/>
  <c r="O42" i="6" s="1"/>
  <c r="K42" i="6"/>
  <c r="M42" i="6" s="1"/>
  <c r="H42" i="6"/>
  <c r="L43" i="6"/>
  <c r="O43" i="6" s="1" a="1"/>
  <c r="O43" i="6" s="1"/>
  <c r="K43" i="6"/>
  <c r="M43" i="6" s="1"/>
  <c r="H43" i="6"/>
  <c r="L44" i="6"/>
  <c r="O44" i="6" s="1" a="1"/>
  <c r="O44" i="6" s="1"/>
  <c r="K44" i="6"/>
  <c r="M44" i="6" s="1"/>
  <c r="H44" i="6"/>
  <c r="P44" i="6" s="1"/>
  <c r="R22" i="22" l="1"/>
  <c r="S24" i="22"/>
  <c r="Q24" i="22"/>
  <c r="E9" i="22"/>
  <c r="N24" i="22"/>
  <c r="I39" i="22"/>
  <c r="T39" i="22" s="1"/>
  <c r="I29" i="22"/>
  <c r="E18" i="22"/>
  <c r="G18" i="22"/>
  <c r="E29" i="22"/>
  <c r="I34" i="22"/>
  <c r="T34" i="22" s="1"/>
  <c r="U6" i="22"/>
  <c r="E24" i="22"/>
  <c r="K6" i="22"/>
  <c r="T29" i="22"/>
  <c r="J18" i="22"/>
  <c r="K18" i="22" s="1"/>
  <c r="L18" i="22"/>
  <c r="V18" i="22"/>
  <c r="I24" i="22"/>
  <c r="H18" i="22"/>
  <c r="I18" i="22"/>
  <c r="O18" i="22"/>
  <c r="N18" i="22"/>
  <c r="C18" i="22"/>
  <c r="F18" i="22" s="1"/>
  <c r="Q18" i="22"/>
  <c r="S18" i="22"/>
  <c r="M18" i="22"/>
  <c r="D18" i="22"/>
  <c r="D3" i="22" s="1"/>
  <c r="R18" i="22"/>
  <c r="R24" i="22"/>
  <c r="E34" i="22"/>
  <c r="S26" i="21"/>
  <c r="S18" i="21"/>
  <c r="J5" i="21"/>
  <c r="D5" i="21"/>
  <c r="J15" i="11" s="1"/>
  <c r="L5" i="21"/>
  <c r="S19" i="21"/>
  <c r="S25" i="21"/>
  <c r="S16" i="21"/>
  <c r="R27" i="21"/>
  <c r="S13" i="21"/>
  <c r="S20" i="21" s="1"/>
  <c r="J27" i="21"/>
  <c r="H5" i="21" s="1"/>
  <c r="N27" i="21"/>
  <c r="J20" i="21"/>
  <c r="S15" i="21"/>
  <c r="C5" i="21"/>
  <c r="J14" i="11" s="1"/>
  <c r="F27" i="21"/>
  <c r="N20" i="21"/>
  <c r="F20" i="21"/>
  <c r="R20" i="21"/>
  <c r="N5" i="21" s="1"/>
  <c r="C14" i="15"/>
  <c r="N22" i="15" a="1"/>
  <c r="N22" i="15" s="1"/>
  <c r="Q22" i="15" s="1"/>
  <c r="R22" i="15" s="1"/>
  <c r="Q23" i="15"/>
  <c r="R23" i="15" s="1"/>
  <c r="Q24" i="15"/>
  <c r="R24" i="15" s="1"/>
  <c r="N25" i="15" a="1"/>
  <c r="N25" i="15" s="1"/>
  <c r="C11" i="15" s="1"/>
  <c r="D11" i="15"/>
  <c r="Q18" i="15"/>
  <c r="K32" i="15"/>
  <c r="L27" i="15"/>
  <c r="P27" i="15"/>
  <c r="E14" i="15"/>
  <c r="G18" i="15"/>
  <c r="L18" i="15"/>
  <c r="D16" i="15"/>
  <c r="V18" i="15"/>
  <c r="O32" i="15"/>
  <c r="R9" i="15"/>
  <c r="R18" i="15" s="1"/>
  <c r="N42" i="15"/>
  <c r="I7" i="15"/>
  <c r="H15" i="15"/>
  <c r="S42" i="15"/>
  <c r="P37" i="15"/>
  <c r="N11" i="15"/>
  <c r="M27" i="15"/>
  <c r="C9" i="15"/>
  <c r="P32" i="15"/>
  <c r="I14" i="15"/>
  <c r="H32" i="15"/>
  <c r="I12" i="15"/>
  <c r="I15" i="15"/>
  <c r="H7" i="15"/>
  <c r="H12" i="15"/>
  <c r="M10" i="15"/>
  <c r="H27" i="15"/>
  <c r="H37" i="15"/>
  <c r="P42" i="15"/>
  <c r="I42" i="15" s="1"/>
  <c r="S9" i="15"/>
  <c r="S18" i="15" s="1"/>
  <c r="H14" i="15"/>
  <c r="N10" i="15"/>
  <c r="K27" i="15"/>
  <c r="O37" i="15"/>
  <c r="H42" i="15"/>
  <c r="P6" i="22"/>
  <c r="D3" i="23"/>
  <c r="G3" i="23"/>
  <c r="I3" i="23" s="1" a="1"/>
  <c r="I3" i="23" s="1"/>
  <c r="T18" i="23"/>
  <c r="U18" i="23" s="1"/>
  <c r="T34" i="23"/>
  <c r="P18" i="23"/>
  <c r="K18" i="23"/>
  <c r="C3" i="23"/>
  <c r="F18" i="23"/>
  <c r="E3" i="23"/>
  <c r="F6" i="23"/>
  <c r="P6" i="23"/>
  <c r="P12" i="17"/>
  <c r="Q12" i="17" s="1"/>
  <c r="O13" i="17"/>
  <c r="P11" i="17"/>
  <c r="Q11" i="17" s="1"/>
  <c r="P13" i="17"/>
  <c r="Q13" i="17" s="1"/>
  <c r="O4" i="17"/>
  <c r="P4" i="17"/>
  <c r="Q4" i="17" s="1"/>
  <c r="H46" i="6"/>
  <c r="M46" i="6"/>
  <c r="O46" i="6"/>
  <c r="L46" i="6"/>
  <c r="K46" i="6"/>
  <c r="P46" i="6"/>
  <c r="Q42" i="6"/>
  <c r="R42" i="6" s="1"/>
  <c r="N41" i="6" a="1"/>
  <c r="N41" i="6" s="1"/>
  <c r="Q43" i="6"/>
  <c r="R43" i="6" s="1"/>
  <c r="N44" i="6" a="1"/>
  <c r="N44" i="6" s="1"/>
  <c r="Q44" i="6" s="1"/>
  <c r="R44" i="6" s="1"/>
  <c r="T18" i="22" l="1"/>
  <c r="U18" i="22" s="1"/>
  <c r="G3" i="22"/>
  <c r="I3" i="22" s="1" a="1"/>
  <c r="I3" i="22" s="1"/>
  <c r="P18" i="22"/>
  <c r="T24" i="22"/>
  <c r="C3" i="22"/>
  <c r="S27" i="21"/>
  <c r="K3" i="15" s="1"/>
  <c r="K5" i="21"/>
  <c r="E5" i="21"/>
  <c r="Q25" i="15"/>
  <c r="R25" i="15" s="1"/>
  <c r="D9" i="15"/>
  <c r="I32" i="15"/>
  <c r="C16" i="15"/>
  <c r="N27" i="15"/>
  <c r="E27" i="15" s="1"/>
  <c r="I37" i="15"/>
  <c r="G3" i="15"/>
  <c r="D14" i="15"/>
  <c r="O27" i="15"/>
  <c r="I27" i="15" s="1"/>
  <c r="I18" i="15"/>
  <c r="N18" i="15"/>
  <c r="T18" i="15"/>
  <c r="U18" i="15" s="1"/>
  <c r="E42" i="15"/>
  <c r="T42" i="15" s="1"/>
  <c r="N37" i="15"/>
  <c r="E37" i="15" s="1"/>
  <c r="M11" i="15"/>
  <c r="M18" i="15" s="1"/>
  <c r="M32" i="15"/>
  <c r="M37" i="15"/>
  <c r="T9" i="15"/>
  <c r="Q42" i="15"/>
  <c r="R42" i="15" s="1"/>
  <c r="H18" i="15"/>
  <c r="N32" i="15"/>
  <c r="E32" i="15" s="1"/>
  <c r="T32" i="15" s="1"/>
  <c r="J15" i="15"/>
  <c r="D7" i="15"/>
  <c r="E9" i="15"/>
  <c r="C7" i="15"/>
  <c r="E16" i="15"/>
  <c r="E3" i="22"/>
  <c r="H3" i="23" a="1"/>
  <c r="H3" i="23" s="1"/>
  <c r="J3" i="23" s="1"/>
  <c r="F3" i="23"/>
  <c r="Q41" i="6"/>
  <c r="N46" i="6"/>
  <c r="O5" i="21" l="1"/>
  <c r="E11" i="15"/>
  <c r="C18" i="15"/>
  <c r="C3" i="15" s="1"/>
  <c r="Q27" i="15"/>
  <c r="R27" i="15" s="1"/>
  <c r="S27" i="15"/>
  <c r="D18" i="15"/>
  <c r="E7" i="15"/>
  <c r="T37" i="15"/>
  <c r="J7" i="15"/>
  <c r="T27" i="15"/>
  <c r="D3" i="15"/>
  <c r="J12" i="15"/>
  <c r="J14" i="15"/>
  <c r="O10" i="15"/>
  <c r="S32" i="15"/>
  <c r="Q32" i="15"/>
  <c r="R32" i="15" s="1"/>
  <c r="O11" i="15"/>
  <c r="Q37" i="15"/>
  <c r="R37" i="15" s="1"/>
  <c r="S37" i="15"/>
  <c r="H3" i="22" a="1"/>
  <c r="H3" i="22" s="1"/>
  <c r="J3" i="22" s="1"/>
  <c r="F3" i="22"/>
  <c r="R41" i="6"/>
  <c r="Q46" i="6"/>
  <c r="S46" i="6"/>
  <c r="E18" i="15" l="1"/>
  <c r="F18" i="15" s="1"/>
  <c r="J18" i="15"/>
  <c r="K18" i="15" s="1"/>
  <c r="O18" i="15"/>
  <c r="P18" i="15" s="1"/>
  <c r="T14" i="6"/>
  <c r="S14" i="6"/>
  <c r="P14" i="6"/>
  <c r="J14" i="6"/>
  <c r="G14" i="6"/>
  <c r="F14" i="6"/>
  <c r="D14" i="6"/>
  <c r="C14" i="6"/>
  <c r="C6" i="6"/>
  <c r="T14" i="20"/>
  <c r="T15" i="20" s="1"/>
  <c r="S14" i="20"/>
  <c r="S15" i="20" s="1"/>
  <c r="R14" i="20"/>
  <c r="R15" i="20" s="1"/>
  <c r="Q14" i="20"/>
  <c r="P14" i="20"/>
  <c r="P15" i="20" s="1"/>
  <c r="O14" i="20"/>
  <c r="N14" i="20"/>
  <c r="N15" i="20" s="1"/>
  <c r="M14" i="20"/>
  <c r="M15" i="20" s="1"/>
  <c r="L14" i="20"/>
  <c r="L15" i="20" s="1"/>
  <c r="K14" i="20"/>
  <c r="K15" i="20" s="1"/>
  <c r="J14" i="20"/>
  <c r="J15" i="20" s="1"/>
  <c r="I14" i="20"/>
  <c r="I15" i="20" s="1"/>
  <c r="J19" i="4"/>
  <c r="J21" i="4" s="1"/>
  <c r="I19" i="4"/>
  <c r="I21" i="4" s="1"/>
  <c r="H21" i="4"/>
  <c r="G21" i="4"/>
  <c r="F13" i="4"/>
  <c r="J12" i="4"/>
  <c r="I12" i="4"/>
  <c r="H12" i="4"/>
  <c r="G12" i="4"/>
  <c r="G13" i="4"/>
  <c r="G31" i="11"/>
  <c r="F31" i="11"/>
  <c r="E31" i="11"/>
  <c r="D31" i="11"/>
  <c r="C31" i="11"/>
  <c r="F14" i="20"/>
  <c r="F13" i="20"/>
  <c r="F12" i="20"/>
  <c r="F11" i="20"/>
  <c r="D14" i="20"/>
  <c r="D13" i="20"/>
  <c r="D12" i="20"/>
  <c r="D11" i="20"/>
  <c r="C14" i="20"/>
  <c r="E14" i="20" s="1"/>
  <c r="G14" i="20" s="1"/>
  <c r="C13" i="20"/>
  <c r="C12" i="20"/>
  <c r="C11" i="20"/>
  <c r="O15" i="20"/>
  <c r="Q15" i="20"/>
  <c r="U13" i="20"/>
  <c r="F15" i="20"/>
  <c r="C15" i="20" l="1"/>
  <c r="E13" i="20"/>
  <c r="G13" i="20" s="1"/>
  <c r="H31" i="11"/>
  <c r="I31" i="11"/>
  <c r="K31" i="11" s="1"/>
  <c r="E3" i="15"/>
  <c r="E11" i="20"/>
  <c r="D15" i="20"/>
  <c r="J13" i="4"/>
  <c r="I13" i="4"/>
  <c r="H13" i="4"/>
  <c r="G11" i="20"/>
  <c r="U14" i="20"/>
  <c r="U15" i="20" s="1"/>
  <c r="M31" i="11" s="1"/>
  <c r="E12" i="20"/>
  <c r="G12" i="20" s="1"/>
  <c r="J3" i="15" l="1"/>
  <c r="F3" i="15"/>
  <c r="G15" i="20"/>
  <c r="E15" i="20"/>
  <c r="I23" i="17" l="1"/>
  <c r="F23" i="17"/>
  <c r="E23" i="17"/>
  <c r="C23" i="17"/>
  <c r="M23" i="17"/>
  <c r="K23" i="17"/>
  <c r="G23" i="17"/>
  <c r="D23" i="17" l="1"/>
  <c r="L23" i="17"/>
  <c r="N23" i="17"/>
  <c r="J23" i="17"/>
  <c r="C5" i="6" l="1"/>
  <c r="O23" i="17"/>
  <c r="H23" i="17" s="1"/>
  <c r="S23" i="17" s="1"/>
  <c r="P23" i="17" l="1"/>
  <c r="Q23" i="17" s="1"/>
  <c r="R23" i="17"/>
  <c r="L34" i="6"/>
  <c r="O34" i="6" s="1" a="1"/>
  <c r="O34" i="6" s="1"/>
  <c r="K34" i="6"/>
  <c r="M34" i="6" s="1"/>
  <c r="H34" i="6"/>
  <c r="P34" i="6" s="1"/>
  <c r="N34" i="6" l="1" a="1"/>
  <c r="N34" i="6" s="1"/>
  <c r="Q34" i="6" s="1"/>
  <c r="R34" i="6" s="1"/>
  <c r="N14" i="6" l="1"/>
  <c r="C4" i="6"/>
  <c r="H14" i="6"/>
  <c r="D4" i="6"/>
  <c r="M14" i="6"/>
  <c r="K14" i="6"/>
  <c r="O14" i="6"/>
  <c r="L14" i="6"/>
  <c r="Q22" i="20"/>
  <c r="I16" i="17"/>
  <c r="F16" i="17"/>
  <c r="E16" i="17"/>
  <c r="C16" i="17"/>
  <c r="T22" i="20"/>
  <c r="R22" i="20"/>
  <c r="P22" i="20"/>
  <c r="N22" i="20"/>
  <c r="M22" i="20"/>
  <c r="L22" i="20"/>
  <c r="K22" i="20"/>
  <c r="J22" i="20"/>
  <c r="U20" i="20"/>
  <c r="I6" i="20" s="1"/>
  <c r="S22" i="20"/>
  <c r="O22" i="20"/>
  <c r="Q14" i="6" l="1"/>
  <c r="U21" i="20"/>
  <c r="I22" i="20"/>
  <c r="U22" i="20" l="1"/>
  <c r="I7" i="20"/>
  <c r="I8" i="20" s="1"/>
  <c r="J11" i="11" s="1"/>
  <c r="N11" i="11" s="1"/>
  <c r="I7" i="17"/>
  <c r="F7" i="17"/>
  <c r="E7" i="17"/>
  <c r="C7" i="17"/>
  <c r="C32" i="6"/>
  <c r="D19" i="11" s="1"/>
  <c r="C26" i="6"/>
  <c r="D18" i="11" s="1"/>
  <c r="C20" i="6"/>
  <c r="D17" i="11" s="1"/>
  <c r="P32" i="6"/>
  <c r="P26" i="6"/>
  <c r="P20" i="6"/>
  <c r="N32" i="6"/>
  <c r="N26" i="6"/>
  <c r="N20" i="6"/>
  <c r="J32" i="6"/>
  <c r="J26" i="6"/>
  <c r="J20" i="6"/>
  <c r="F32" i="6"/>
  <c r="G7" i="6" s="1"/>
  <c r="F26" i="6"/>
  <c r="G6" i="6" s="1"/>
  <c r="F20" i="6"/>
  <c r="G5" i="6" s="1"/>
  <c r="G32" i="6"/>
  <c r="G26" i="6"/>
  <c r="G20" i="6"/>
  <c r="G4" i="6"/>
  <c r="D32" i="6"/>
  <c r="H32" i="6"/>
  <c r="K32" i="6"/>
  <c r="L32" i="6"/>
  <c r="M32" i="6"/>
  <c r="O32" i="6"/>
  <c r="S32" i="6"/>
  <c r="T32" i="6"/>
  <c r="G19" i="11" s="1"/>
  <c r="T26" i="6"/>
  <c r="G18" i="11" s="1"/>
  <c r="S26" i="6"/>
  <c r="Q26" i="6"/>
  <c r="Q32" i="6" s="1"/>
  <c r="M26" i="6"/>
  <c r="O26" i="6"/>
  <c r="L26" i="6"/>
  <c r="K26" i="6"/>
  <c r="H26" i="6"/>
  <c r="D26" i="6"/>
  <c r="T20" i="6"/>
  <c r="G17" i="11" s="1"/>
  <c r="S20" i="6"/>
  <c r="Q20" i="6"/>
  <c r="O20" i="6"/>
  <c r="M20" i="6"/>
  <c r="L20" i="6"/>
  <c r="K20" i="6"/>
  <c r="H20" i="6"/>
  <c r="D20" i="6"/>
  <c r="G16" i="11"/>
  <c r="J7" i="6"/>
  <c r="I7" i="6"/>
  <c r="H7" i="6"/>
  <c r="T7" i="6"/>
  <c r="T6" i="6"/>
  <c r="T5" i="6"/>
  <c r="H5" i="6"/>
  <c r="I5" i="6"/>
  <c r="I4" i="6"/>
  <c r="H4" i="6"/>
  <c r="T4" i="6"/>
  <c r="K4" i="6" l="1"/>
  <c r="K7" i="6"/>
  <c r="M7" i="6"/>
  <c r="C7" i="20" s="1"/>
  <c r="G16" i="17"/>
  <c r="L16" i="17"/>
  <c r="J16" i="17"/>
  <c r="N16" i="17"/>
  <c r="K16" i="17"/>
  <c r="R7" i="6"/>
  <c r="S7" i="6" s="1"/>
  <c r="R6" i="6"/>
  <c r="S6" i="6" s="1"/>
  <c r="R5" i="6"/>
  <c r="S5" i="6" s="1"/>
  <c r="G7" i="17"/>
  <c r="J7" i="17"/>
  <c r="K7" i="17"/>
  <c r="N7" i="17"/>
  <c r="M7" i="17"/>
  <c r="L7" i="17"/>
  <c r="R4" i="6"/>
  <c r="I20" i="6"/>
  <c r="I32" i="6"/>
  <c r="I26" i="6"/>
  <c r="E26" i="6"/>
  <c r="R26" i="6"/>
  <c r="E20" i="6"/>
  <c r="R20" i="6"/>
  <c r="R32" i="6"/>
  <c r="N4" i="6" l="1"/>
  <c r="D4" i="20" s="1"/>
  <c r="E46" i="6"/>
  <c r="E4" i="6" s="1"/>
  <c r="L4" i="6"/>
  <c r="N7" i="6"/>
  <c r="D7" i="20" s="1"/>
  <c r="E7" i="20" s="1"/>
  <c r="L7" i="6"/>
  <c r="D22" i="20"/>
  <c r="M16" i="17"/>
  <c r="R16" i="17"/>
  <c r="O16" i="17"/>
  <c r="H16" i="17" s="1"/>
  <c r="E20" i="20"/>
  <c r="E19" i="20"/>
  <c r="G19" i="20" s="1"/>
  <c r="D16" i="17"/>
  <c r="O7" i="17"/>
  <c r="E32" i="6"/>
  <c r="E64" i="6"/>
  <c r="E7" i="6" s="1"/>
  <c r="Q20" i="8" a="1"/>
  <c r="Q20" i="8" s="1"/>
  <c r="P22" i="8"/>
  <c r="P23" i="8"/>
  <c r="P24" i="8"/>
  <c r="P25" i="8"/>
  <c r="P26" i="8"/>
  <c r="I46" i="6" l="1"/>
  <c r="F4" i="6" s="1"/>
  <c r="P4" i="6"/>
  <c r="Q4" i="6" s="1"/>
  <c r="J24" i="11" s="1"/>
  <c r="E21" i="20"/>
  <c r="G21" i="20" s="1"/>
  <c r="P16" i="17"/>
  <c r="Q16" i="17" s="1"/>
  <c r="R7" i="17"/>
  <c r="G20" i="20"/>
  <c r="F22" i="20"/>
  <c r="I64" i="6"/>
  <c r="T64" i="6" s="1"/>
  <c r="O7" i="6"/>
  <c r="M32" i="11"/>
  <c r="S16" i="17"/>
  <c r="P7" i="17"/>
  <c r="T46" i="6" l="1"/>
  <c r="R46" i="6"/>
  <c r="F7" i="20"/>
  <c r="G7" i="20" s="1"/>
  <c r="M10" i="11"/>
  <c r="R64" i="6"/>
  <c r="P7" i="6"/>
  <c r="Q7" i="6" s="1"/>
  <c r="J27" i="11" s="1"/>
  <c r="C22" i="20"/>
  <c r="E18" i="20"/>
  <c r="F7" i="6"/>
  <c r="E22" i="20" l="1"/>
  <c r="G18" i="20"/>
  <c r="G22" i="20" s="1"/>
  <c r="N5" i="6" l="1"/>
  <c r="D5" i="20" s="1"/>
  <c r="D16" i="11" l="1"/>
  <c r="L6" i="6"/>
  <c r="J6" i="6" l="1"/>
  <c r="H6" i="6"/>
  <c r="I6" i="6"/>
  <c r="J5" i="6"/>
  <c r="J4" i="6"/>
  <c r="D7" i="6"/>
  <c r="C7" i="6"/>
  <c r="N6" i="6" l="1"/>
  <c r="D6" i="20" s="1"/>
  <c r="D8" i="20" s="1"/>
  <c r="K5" i="6"/>
  <c r="K6" i="6"/>
  <c r="G20" i="11"/>
  <c r="G26" i="4"/>
  <c r="H26" i="4"/>
  <c r="I26" i="4"/>
  <c r="J26" i="4"/>
  <c r="I58" i="6" l="1"/>
  <c r="F6" i="6" s="1"/>
  <c r="C26" i="11" s="1"/>
  <c r="O6" i="6"/>
  <c r="E58" i="6"/>
  <c r="E6" i="6" s="1"/>
  <c r="M6" i="6"/>
  <c r="C6" i="20" s="1"/>
  <c r="E6" i="20" s="1"/>
  <c r="L5" i="6"/>
  <c r="M5" i="6"/>
  <c r="C5" i="20" s="1"/>
  <c r="E5" i="20" s="1"/>
  <c r="F10" i="11"/>
  <c r="M16" i="11"/>
  <c r="G30" i="4"/>
  <c r="F30" i="4"/>
  <c r="I30" i="4"/>
  <c r="H27" i="11"/>
  <c r="G27" i="11"/>
  <c r="D27" i="11"/>
  <c r="C27" i="11"/>
  <c r="C19" i="11"/>
  <c r="N15" i="11"/>
  <c r="L7" i="11"/>
  <c r="K16" i="11"/>
  <c r="L16" i="11"/>
  <c r="H26" i="11"/>
  <c r="G26" i="11"/>
  <c r="D26" i="11"/>
  <c r="D25" i="11"/>
  <c r="F27" i="4"/>
  <c r="P5" i="6" l="1"/>
  <c r="E52" i="6"/>
  <c r="E5" i="6" s="1"/>
  <c r="E8" i="6" s="1"/>
  <c r="T58" i="6"/>
  <c r="F6" i="20"/>
  <c r="G6" i="20" s="1"/>
  <c r="L10" i="11"/>
  <c r="I52" i="6"/>
  <c r="F5" i="6" s="1"/>
  <c r="C25" i="11" s="1"/>
  <c r="O5" i="6"/>
  <c r="J16" i="11"/>
  <c r="N14" i="11"/>
  <c r="N16" i="11" s="1"/>
  <c r="I27" i="11"/>
  <c r="H8" i="6"/>
  <c r="H25" i="11"/>
  <c r="F9" i="11"/>
  <c r="H30" i="4"/>
  <c r="J30" i="4"/>
  <c r="K7" i="11"/>
  <c r="G25" i="11"/>
  <c r="D24" i="11"/>
  <c r="D28" i="11" s="1"/>
  <c r="R52" i="6" l="1"/>
  <c r="Q5" i="6"/>
  <c r="J25" i="11" s="1"/>
  <c r="T52" i="6"/>
  <c r="F5" i="20"/>
  <c r="G5" i="20" s="1"/>
  <c r="K10" i="11"/>
  <c r="R58" i="6"/>
  <c r="P6" i="6"/>
  <c r="D6" i="6"/>
  <c r="F8" i="6"/>
  <c r="H24" i="11"/>
  <c r="H28" i="11" s="1"/>
  <c r="L8" i="6"/>
  <c r="J7" i="11"/>
  <c r="G24" i="11"/>
  <c r="G28" i="11" s="1"/>
  <c r="K8" i="6"/>
  <c r="C24" i="11"/>
  <c r="C28" i="11" s="1"/>
  <c r="Q6" i="6" l="1"/>
  <c r="J26" i="11" s="1"/>
  <c r="E10" i="11"/>
  <c r="I26" i="11"/>
  <c r="G32" i="11"/>
  <c r="D5" i="6"/>
  <c r="P8" i="6"/>
  <c r="Q8" i="6" s="1"/>
  <c r="D10" i="11"/>
  <c r="I25" i="11"/>
  <c r="I24" i="11"/>
  <c r="C10" i="11"/>
  <c r="I28" i="11" l="1"/>
  <c r="G10" i="11"/>
  <c r="C32" i="11"/>
  <c r="E32" i="11" l="1"/>
  <c r="D32" i="11"/>
  <c r="J25" i="4"/>
  <c r="I25" i="4"/>
  <c r="I27" i="4" s="1"/>
  <c r="H25" i="4"/>
  <c r="H27" i="4" s="1"/>
  <c r="G25" i="4"/>
  <c r="G27" i="4" s="1"/>
  <c r="C18" i="11"/>
  <c r="C17" i="11"/>
  <c r="F26" i="11"/>
  <c r="L26" i="11"/>
  <c r="F25" i="11"/>
  <c r="L25" i="11"/>
  <c r="E5" i="4" l="1"/>
  <c r="D5" i="4"/>
  <c r="C5" i="4"/>
  <c r="C6" i="4"/>
  <c r="K32" i="11"/>
  <c r="D7" i="11"/>
  <c r="C7" i="11"/>
  <c r="E7" i="11"/>
  <c r="O4" i="6"/>
  <c r="F4" i="20" s="1"/>
  <c r="F8" i="20" s="1"/>
  <c r="C16" i="11"/>
  <c r="M4" i="6"/>
  <c r="I33" i="4"/>
  <c r="J27" i="4"/>
  <c r="E18" i="11"/>
  <c r="E17" i="11"/>
  <c r="K6" i="11"/>
  <c r="K8" i="11" s="1"/>
  <c r="K12" i="11" s="1"/>
  <c r="K26" i="11"/>
  <c r="F18" i="11"/>
  <c r="E16" i="11"/>
  <c r="K25" i="11"/>
  <c r="F17" i="11"/>
  <c r="L24" i="11"/>
  <c r="L28" i="11" s="1"/>
  <c r="E9" i="11"/>
  <c r="D9" i="11"/>
  <c r="J33" i="4"/>
  <c r="G33" i="4"/>
  <c r="H33" i="4"/>
  <c r="E26" i="11"/>
  <c r="E25" i="11"/>
  <c r="F24" i="11"/>
  <c r="D6" i="4" l="1"/>
  <c r="D8" i="11" s="1"/>
  <c r="D11" i="11" s="1"/>
  <c r="D12" i="11" s="1"/>
  <c r="E6" i="4"/>
  <c r="E8" i="11" s="1"/>
  <c r="E11" i="11" s="1"/>
  <c r="E12" i="11" s="1"/>
  <c r="F6" i="4"/>
  <c r="F8" i="11" s="1"/>
  <c r="F11" i="11" s="1"/>
  <c r="F12" i="11" s="1"/>
  <c r="F5" i="4"/>
  <c r="F7" i="11" s="1"/>
  <c r="G7" i="11" s="1"/>
  <c r="B3" i="11" s="1"/>
  <c r="J6" i="11"/>
  <c r="J8" i="11" s="1"/>
  <c r="C4" i="20"/>
  <c r="J10" i="11"/>
  <c r="E14" i="6"/>
  <c r="D8" i="6"/>
  <c r="C8" i="11"/>
  <c r="C11" i="11" s="1"/>
  <c r="I14" i="6"/>
  <c r="R14" i="6"/>
  <c r="L6" i="11"/>
  <c r="L8" i="11" s="1"/>
  <c r="L12" i="11" s="1"/>
  <c r="E20" i="11"/>
  <c r="C8" i="6"/>
  <c r="D20" i="11"/>
  <c r="S4" i="6"/>
  <c r="C9" i="11"/>
  <c r="K24" i="11"/>
  <c r="K28" i="11" s="1"/>
  <c r="J12" i="11" l="1"/>
  <c r="E4" i="20"/>
  <c r="C8" i="20"/>
  <c r="C12" i="11"/>
  <c r="C7" i="4" s="1"/>
  <c r="G8" i="11"/>
  <c r="G6" i="4"/>
  <c r="G5" i="4"/>
  <c r="F16" i="11"/>
  <c r="F20" i="11" s="1"/>
  <c r="C20" i="11"/>
  <c r="J28" i="11"/>
  <c r="G4" i="20" l="1"/>
  <c r="G8" i="20" s="1"/>
  <c r="E8" i="20"/>
  <c r="G2" i="6"/>
  <c r="G11" i="11"/>
  <c r="C3" i="11" s="1"/>
  <c r="D3" i="11" s="1"/>
  <c r="E3" i="11" s="1"/>
  <c r="M2" i="6"/>
  <c r="F7" i="4"/>
  <c r="D7" i="4"/>
  <c r="I2" i="6"/>
  <c r="E7" i="4" l="1"/>
  <c r="G7" i="4" s="1"/>
  <c r="K2" i="6"/>
  <c r="G9" i="11"/>
  <c r="G12" i="11" s="1"/>
  <c r="F32" i="11" l="1"/>
  <c r="E24" i="11"/>
  <c r="O8" i="6" l="1"/>
  <c r="E19" i="11"/>
  <c r="N10" i="11"/>
  <c r="T8" i="6"/>
  <c r="M6" i="11"/>
  <c r="R8" i="6"/>
  <c r="E27" i="11"/>
  <c r="E28" i="11" s="1"/>
  <c r="N8" i="6"/>
  <c r="F27" i="11"/>
  <c r="F28" i="11" s="1"/>
  <c r="J8" i="6" l="1"/>
  <c r="G8" i="6"/>
  <c r="I8" i="6"/>
  <c r="M8" i="6"/>
  <c r="N6" i="11"/>
  <c r="L27" i="11"/>
  <c r="M7" i="11"/>
  <c r="N7" i="11" s="1"/>
  <c r="K27" i="11"/>
  <c r="N8" i="11" l="1"/>
  <c r="N12" i="11" s="1"/>
  <c r="M8" i="11"/>
  <c r="M12" i="11" s="1"/>
  <c r="F19" i="11"/>
  <c r="S8" i="6"/>
  <c r="H7" i="17"/>
  <c r="D7" i="17"/>
  <c r="Q7" i="17"/>
  <c r="S7" i="17" l="1"/>
  <c r="M3" i="23" l="1"/>
  <c r="M3" i="22" l="1"/>
  <c r="L31" i="11"/>
  <c r="N31" i="11" s="1"/>
  <c r="M3" i="15" l="1"/>
  <c r="L32" i="11"/>
  <c r="N32" i="11" s="1"/>
  <c r="F3" i="1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<sst xmlns="http://schemas.openxmlformats.org/spreadsheetml/2006/main" count="1451" uniqueCount="180">
  <si>
    <t>Santander</t>
  </si>
  <si>
    <t>Capital</t>
  </si>
  <si>
    <t>Acciones</t>
  </si>
  <si>
    <t>Pr.Compra</t>
  </si>
  <si>
    <t>Pr.Venta</t>
  </si>
  <si>
    <t>BnfxAcc</t>
  </si>
  <si>
    <t>Resultado</t>
  </si>
  <si>
    <t>Apertura</t>
  </si>
  <si>
    <t>Cierre</t>
  </si>
  <si>
    <t>Cuenta</t>
  </si>
  <si>
    <t>Dividendos</t>
  </si>
  <si>
    <t>BnfNeto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</si>
  <si>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</si>
  <si>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</si>
  <si>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</si>
  <si>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</si>
  <si>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</si>
  <si>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</si>
  <si>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</si>
  <si>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</si>
  <si>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</si>
  <si>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</si>
  <si>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</si>
  <si>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</si>
  <si>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Valor</t>
  </si>
  <si>
    <t>Estado</t>
  </si>
  <si>
    <t>Cta-1</t>
  </si>
  <si>
    <t>Internas</t>
  </si>
  <si>
    <t>Cta-2</t>
  </si>
  <si>
    <t>Op.Abiertas</t>
  </si>
  <si>
    <t>Op.Cerradas</t>
  </si>
  <si>
    <t>Acc.Tot</t>
  </si>
  <si>
    <t>Bnf.Tot</t>
  </si>
  <si>
    <t>BnfxAcc.Tot</t>
  </si>
  <si>
    <t>PrC.Prom</t>
  </si>
  <si>
    <t>PrV.Prom</t>
  </si>
  <si>
    <t>Res.Tot</t>
  </si>
  <si>
    <t>Programada</t>
  </si>
  <si>
    <t>Cerrada</t>
  </si>
  <si>
    <t>Abierta</t>
  </si>
  <si>
    <t>Cta-3</t>
  </si>
  <si>
    <t>Cap.Invertido</t>
  </si>
  <si>
    <t>Total</t>
  </si>
  <si>
    <t>Bnf.Neto</t>
  </si>
  <si>
    <t>Cap.Progr</t>
  </si>
  <si>
    <t>Rent</t>
  </si>
  <si>
    <t>Cap.Pos.Cerr</t>
  </si>
  <si>
    <t>Valores</t>
  </si>
  <si>
    <t>Cta-4</t>
  </si>
  <si>
    <t>SAN - Santander</t>
  </si>
  <si>
    <t>SAB1 - Sabadell</t>
  </si>
  <si>
    <t>UBS - Urbas</t>
  </si>
  <si>
    <t>SCYR - Sacyr</t>
  </si>
  <si>
    <t>Fecha</t>
  </si>
  <si>
    <t>Depósitos</t>
  </si>
  <si>
    <t>Banco</t>
  </si>
  <si>
    <t>Cta Origen</t>
  </si>
  <si>
    <t>Cta Destino</t>
  </si>
  <si>
    <t>Importe</t>
  </si>
  <si>
    <t>IAG - IAG</t>
  </si>
  <si>
    <t>Cap. Invertido</t>
  </si>
  <si>
    <t>Cartera Inicial</t>
  </si>
  <si>
    <t>Rent%</t>
  </si>
  <si>
    <t>Op.Prog</t>
  </si>
  <si>
    <t>OPERACIONES</t>
  </si>
  <si>
    <t>CERRADAS</t>
  </si>
  <si>
    <t>EN CURSO</t>
  </si>
  <si>
    <t>Com.Op.Cerr</t>
  </si>
  <si>
    <t>Cartera Virtual</t>
  </si>
  <si>
    <t>Operaciones</t>
  </si>
  <si>
    <t>Beneficio</t>
  </si>
  <si>
    <t>Cap.Ventas</t>
  </si>
  <si>
    <t>Op</t>
  </si>
  <si>
    <t>Mes.Cierre</t>
  </si>
  <si>
    <t>Mes</t>
  </si>
  <si>
    <t>Año</t>
  </si>
  <si>
    <t>Ops</t>
  </si>
  <si>
    <t>Cuentas</t>
  </si>
  <si>
    <t>Nombre Cuentas</t>
  </si>
  <si>
    <t>Cta-1 - U16348657</t>
  </si>
  <si>
    <t>Cta-2 - U17757507</t>
  </si>
  <si>
    <t>Cta-3 - U17375603</t>
  </si>
  <si>
    <t>Depósito</t>
  </si>
  <si>
    <t>Interna</t>
  </si>
  <si>
    <t>Retirada</t>
  </si>
  <si>
    <t>Transferencias</t>
  </si>
  <si>
    <t>Desde</t>
  </si>
  <si>
    <t>Hasta</t>
  </si>
  <si>
    <t xml:space="preserve"> </t>
  </si>
  <si>
    <t>T.Tobin</t>
  </si>
  <si>
    <t>Saldo Inicial</t>
  </si>
  <si>
    <t>Com.Tobin</t>
  </si>
  <si>
    <t>Pr.Ven.Prom</t>
  </si>
  <si>
    <t>Pr.Com.Prom</t>
  </si>
  <si>
    <t>Com.Op.Abi</t>
  </si>
  <si>
    <t>Nº Op.</t>
  </si>
  <si>
    <t>Impuestos</t>
  </si>
  <si>
    <t>Retiradas</t>
  </si>
  <si>
    <t>Cta-3 Fut</t>
  </si>
  <si>
    <t>Op.EnCurso</t>
  </si>
  <si>
    <t>Op.enCurso</t>
  </si>
  <si>
    <t>Acc.Liquid</t>
  </si>
  <si>
    <t>Result.Bruto</t>
  </si>
  <si>
    <t>Com.Op.Ap</t>
  </si>
  <si>
    <t>Com.Op.Cierr</t>
  </si>
  <si>
    <t>Com.Ap.Tot</t>
  </si>
  <si>
    <t>Com.Cierr.Tot</t>
  </si>
  <si>
    <t>SAN-Santander</t>
  </si>
  <si>
    <t>SAB-Sabadell</t>
  </si>
  <si>
    <t>Saldo Disponible</t>
  </si>
  <si>
    <t>Cash disponible</t>
  </si>
  <si>
    <t>Div.Neto</t>
  </si>
  <si>
    <t>Cash Disponible</t>
  </si>
  <si>
    <t>Cap.Venta</t>
  </si>
  <si>
    <t>Com.Datos</t>
  </si>
  <si>
    <t>Com.Total</t>
  </si>
  <si>
    <t>Bnf.Neto.Ops</t>
  </si>
  <si>
    <t>Com.Tot.Ops</t>
  </si>
  <si>
    <t>ID Cuentas</t>
  </si>
  <si>
    <t>Alias Cuentas</t>
  </si>
  <si>
    <t>Res.Venta</t>
  </si>
  <si>
    <t>Venta.Tot</t>
  </si>
  <si>
    <t>Compra €</t>
  </si>
  <si>
    <t>Venta €</t>
  </si>
  <si>
    <t>Compra.Tot</t>
  </si>
  <si>
    <t>Cap.Apertura</t>
  </si>
  <si>
    <t>Bnf.Bruto</t>
  </si>
  <si>
    <t>Res-Tobin</t>
  </si>
  <si>
    <t>Op.Program</t>
  </si>
  <si>
    <t>Cap.Inv.Acc</t>
  </si>
  <si>
    <t>Cap.Inv.Ops</t>
  </si>
  <si>
    <t>Accion.Inv</t>
  </si>
  <si>
    <t>Comisiones por Operativa</t>
  </si>
  <si>
    <t>Dividendo.Bruto</t>
  </si>
  <si>
    <t>Impuestos.Div</t>
  </si>
  <si>
    <t>Saldo Actual</t>
  </si>
  <si>
    <t>Importe Actual</t>
  </si>
  <si>
    <t>Cap.Program</t>
  </si>
  <si>
    <t>Acc.Vendidas</t>
  </si>
  <si>
    <t>Importe Inicnal</t>
  </si>
  <si>
    <t>Impuestos sobre Bnf</t>
  </si>
  <si>
    <t>Años</t>
  </si>
  <si>
    <t>Bruto</t>
  </si>
  <si>
    <t>Neto</t>
  </si>
  <si>
    <t>Res.Neto</t>
  </si>
  <si>
    <t>ResTot</t>
  </si>
  <si>
    <t>Res.Ops</t>
  </si>
  <si>
    <t>Ventas</t>
  </si>
  <si>
    <t>Invertido</t>
  </si>
  <si>
    <t>Com.Dat</t>
  </si>
  <si>
    <t>Com.dat</t>
  </si>
  <si>
    <t>Compras</t>
  </si>
  <si>
    <t>Dividendo.Neto</t>
  </si>
  <si>
    <t>Datos</t>
  </si>
  <si>
    <t>Imp.Ventas</t>
  </si>
  <si>
    <t>Datos.Total</t>
  </si>
  <si>
    <t>Datos.TR</t>
  </si>
  <si>
    <t>Comisiones por Datos en Tiempo Real</t>
  </si>
  <si>
    <t>Apert.Op</t>
  </si>
  <si>
    <t>Cierre.Op</t>
  </si>
  <si>
    <t>Plantilla Operación</t>
  </si>
  <si>
    <t>TEF-Telefónica</t>
  </si>
  <si>
    <t>TEF - Telefónica</t>
  </si>
  <si>
    <t>OHLA - Ohl</t>
  </si>
  <si>
    <t>1.2</t>
  </si>
  <si>
    <t>1.1</t>
  </si>
  <si>
    <t>Transferencias 2025</t>
  </si>
  <si>
    <t>Transferencias 2026</t>
  </si>
  <si>
    <r>
      <t xml:space="preserve">↓↓↓  2025  </t>
    </r>
    <r>
      <rPr>
        <b/>
        <sz val="10"/>
        <color theme="0"/>
        <rFont val="Calibri"/>
        <family val="2"/>
      </rPr>
      <t>↓↓↓</t>
    </r>
  </si>
  <si>
    <t>Com.Datos.Tiempo.Real</t>
  </si>
  <si>
    <t>Com.Ops.Apert</t>
  </si>
  <si>
    <t>Com.Ops.Cierr</t>
  </si>
  <si>
    <t>Res.Bruto</t>
  </si>
  <si>
    <t>Imp 25%</t>
  </si>
  <si>
    <t>x/1</t>
  </si>
  <si>
    <t>U18365480</t>
  </si>
  <si>
    <t>U20750714</t>
  </si>
  <si>
    <t>U21013428</t>
  </si>
  <si>
    <t xml:space="preserve">	U21073772</t>
  </si>
  <si>
    <t>U21073772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</si>
</sst>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#,##0.0000\ &quot;€&quot;"/>
    <numFmt numFmtId="166" formatCode="#,##0.0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2" borderId="1" applyNumberFormat="0" applyAlignment="0" applyProtection="0"/>
    <xf numFmtId="9" fontId="16" fillId="0" borderId="0" applyFont="0" applyFill="0" applyBorder="0" applyAlignment="0" applyProtection="0"/>
  </cellStyleXfs>
  <cellXfs count="285">
    <xf numFmtId="0" fontId="0" fillId="0" borderId="0" xfId="0"/>
    <xf numFmtId="0" fontId="15" fillId="0" borderId="0" xfId="0" applyFont="1" applyAlignment="1">
      <alignment horizontal="center"/>
    </xf>
    <xf numFmtId="14" fontId="19" fillId="2" borderId="0" xfId="1" applyNumberFormat="1" applyFont="1" applyBorder="1" applyAlignment="1">
      <alignment horizontal="center"/>
    </xf>
    <xf numFmtId="165" fontId="19" fillId="2" borderId="0" xfId="1" applyNumberFormat="1" applyFont="1" applyBorder="1" applyAlignment="1">
      <alignment horizontal="center"/>
    </xf>
    <xf numFmtId="164" fontId="19" fillId="2" borderId="0" xfId="1" applyNumberFormat="1" applyFont="1" applyBorder="1" applyAlignment="1">
      <alignment horizontal="center"/>
    </xf>
    <xf numFmtId="1" fontId="19" fillId="2" borderId="0" xfId="1" applyNumberFormat="1" applyFont="1" applyBorder="1" applyAlignment="1">
      <alignment horizontal="center"/>
    </xf>
    <xf numFmtId="0" fontId="19" fillId="2" borderId="0" xfId="1" applyFont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8" fillId="4" borderId="0" xfId="1" applyFont="1" applyFill="1" applyBorder="1" applyAlignment="1">
      <alignment horizontal="right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right"/>
    </xf>
    <xf numFmtId="165" fontId="15" fillId="0" borderId="0" xfId="0" applyNumberFormat="1" applyFont="1" applyAlignment="1">
      <alignment horizontal="right"/>
    </xf>
    <xf numFmtId="165" fontId="18" fillId="7" borderId="0" xfId="0" applyNumberFormat="1" applyFont="1" applyFill="1" applyAlignment="1">
      <alignment horizontal="right"/>
    </xf>
    <xf numFmtId="164" fontId="18" fillId="7" borderId="0" xfId="0" applyNumberFormat="1" applyFont="1" applyFill="1" applyAlignment="1">
      <alignment horizontal="right"/>
    </xf>
    <xf numFmtId="165" fontId="18" fillId="5" borderId="0" xfId="0" applyNumberFormat="1" applyFont="1" applyFill="1" applyAlignment="1">
      <alignment horizontal="right"/>
    </xf>
    <xf numFmtId="164" fontId="18" fillId="5" borderId="0" xfId="0" applyNumberFormat="1" applyFont="1" applyFill="1" applyAlignment="1">
      <alignment horizontal="right"/>
    </xf>
    <xf numFmtId="164" fontId="18" fillId="4" borderId="0" xfId="0" applyNumberFormat="1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18" fillId="8" borderId="0" xfId="0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18" fillId="9" borderId="0" xfId="0" applyFont="1" applyFill="1" applyAlignment="1">
      <alignment horizontal="center"/>
    </xf>
    <xf numFmtId="0" fontId="18" fillId="9" borderId="0" xfId="0" applyFont="1" applyFill="1"/>
    <xf numFmtId="0" fontId="12" fillId="0" borderId="0" xfId="0" applyFont="1" applyAlignment="1">
      <alignment horizontal="center"/>
    </xf>
    <xf numFmtId="164" fontId="18" fillId="7" borderId="0" xfId="0" applyNumberFormat="1" applyFont="1" applyFill="1" applyAlignment="1">
      <alignment horizont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1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left"/>
    </xf>
    <xf numFmtId="1" fontId="12" fillId="0" borderId="0" xfId="0" applyNumberFormat="1" applyFont="1"/>
    <xf numFmtId="8" fontId="12" fillId="0" borderId="0" xfId="0" applyNumberFormat="1" applyFont="1"/>
    <xf numFmtId="9" fontId="12" fillId="0" borderId="0" xfId="0" applyNumberFormat="1" applyFont="1"/>
    <xf numFmtId="0" fontId="18" fillId="4" borderId="0" xfId="1" applyFont="1" applyFill="1" applyBorder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9" borderId="0" xfId="0" applyFont="1" applyFill="1" applyAlignment="1">
      <alignment horizontal="center"/>
    </xf>
    <xf numFmtId="165" fontId="18" fillId="6" borderId="0" xfId="0" applyNumberFormat="1" applyFont="1" applyFill="1" applyAlignment="1">
      <alignment horizontal="right"/>
    </xf>
    <xf numFmtId="164" fontId="18" fillId="6" borderId="0" xfId="0" applyNumberFormat="1" applyFont="1" applyFill="1" applyAlignment="1">
      <alignment horizontal="right"/>
    </xf>
    <xf numFmtId="10" fontId="18" fillId="4" borderId="0" xfId="2" applyNumberFormat="1" applyFont="1" applyFill="1" applyBorder="1" applyAlignment="1">
      <alignment horizontal="right"/>
    </xf>
    <xf numFmtId="10" fontId="18" fillId="6" borderId="0" xfId="0" applyNumberFormat="1" applyFont="1" applyFill="1" applyAlignment="1">
      <alignment horizontal="right"/>
    </xf>
    <xf numFmtId="10" fontId="13" fillId="0" borderId="0" xfId="0" applyNumberFormat="1" applyFont="1" applyAlignment="1">
      <alignment horizontal="right"/>
    </xf>
    <xf numFmtId="10" fontId="18" fillId="4" borderId="0" xfId="0" applyNumberFormat="1" applyFont="1" applyFill="1" applyAlignment="1">
      <alignment horizontal="right"/>
    </xf>
    <xf numFmtId="0" fontId="11" fillId="0" borderId="0" xfId="0" applyFont="1"/>
    <xf numFmtId="165" fontId="18" fillId="8" borderId="0" xfId="0" applyNumberFormat="1" applyFont="1" applyFill="1" applyAlignment="1">
      <alignment horizontal="right"/>
    </xf>
    <xf numFmtId="164" fontId="18" fillId="8" borderId="0" xfId="0" applyNumberFormat="1" applyFont="1" applyFill="1" applyAlignment="1">
      <alignment horizontal="right"/>
    </xf>
    <xf numFmtId="0" fontId="11" fillId="0" borderId="0" xfId="0" applyFont="1" applyAlignment="1">
      <alignment horizontal="center"/>
    </xf>
    <xf numFmtId="14" fontId="11" fillId="0" borderId="0" xfId="0" applyNumberFormat="1" applyFont="1"/>
    <xf numFmtId="164" fontId="15" fillId="0" borderId="6" xfId="0" applyNumberFormat="1" applyFont="1" applyBorder="1" applyAlignment="1">
      <alignment horizontal="right"/>
    </xf>
    <xf numFmtId="164" fontId="11" fillId="0" borderId="6" xfId="0" applyNumberFormat="1" applyFont="1" applyBorder="1"/>
    <xf numFmtId="0" fontId="18" fillId="17" borderId="2" xfId="0" applyFont="1" applyFill="1" applyBorder="1" applyAlignment="1">
      <alignment horizontal="center"/>
    </xf>
    <xf numFmtId="14" fontId="11" fillId="16" borderId="4" xfId="0" applyNumberFormat="1" applyFont="1" applyFill="1" applyBorder="1"/>
    <xf numFmtId="0" fontId="11" fillId="16" borderId="4" xfId="0" applyFont="1" applyFill="1" applyBorder="1" applyAlignment="1">
      <alignment horizontal="center"/>
    </xf>
    <xf numFmtId="0" fontId="18" fillId="4" borderId="4" xfId="1" applyFont="1" applyFill="1" applyBorder="1" applyAlignment="1">
      <alignment horizontal="center"/>
    </xf>
    <xf numFmtId="164" fontId="18" fillId="4" borderId="4" xfId="0" applyNumberFormat="1" applyFont="1" applyFill="1" applyBorder="1"/>
    <xf numFmtId="164" fontId="18" fillId="4" borderId="5" xfId="0" applyNumberFormat="1" applyFont="1" applyFill="1" applyBorder="1"/>
    <xf numFmtId="0" fontId="18" fillId="7" borderId="11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8" borderId="12" xfId="0" applyFont="1" applyFill="1" applyBorder="1" applyAlignment="1">
      <alignment horizontal="center"/>
    </xf>
    <xf numFmtId="0" fontId="18" fillId="18" borderId="2" xfId="0" applyFont="1" applyFill="1" applyBorder="1" applyAlignment="1">
      <alignment horizontal="center"/>
    </xf>
    <xf numFmtId="0" fontId="18" fillId="18" borderId="3" xfId="0" applyFont="1" applyFill="1" applyBorder="1" applyAlignment="1">
      <alignment horizontal="center"/>
    </xf>
    <xf numFmtId="0" fontId="18" fillId="19" borderId="2" xfId="0" applyFont="1" applyFill="1" applyBorder="1" applyAlignment="1">
      <alignment horizontal="center"/>
    </xf>
    <xf numFmtId="0" fontId="18" fillId="19" borderId="3" xfId="0" applyFont="1" applyFill="1" applyBorder="1" applyAlignment="1">
      <alignment horizontal="center"/>
    </xf>
    <xf numFmtId="14" fontId="18" fillId="16" borderId="4" xfId="0" applyNumberFormat="1" applyFont="1" applyFill="1" applyBorder="1"/>
    <xf numFmtId="0" fontId="18" fillId="16" borderId="4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0" fontId="11" fillId="16" borderId="10" xfId="0" applyFont="1" applyFill="1" applyBorder="1" applyAlignment="1">
      <alignment horizontal="center"/>
    </xf>
    <xf numFmtId="0" fontId="11" fillId="16" borderId="12" xfId="0" applyFont="1" applyFill="1" applyBorder="1"/>
    <xf numFmtId="0" fontId="18" fillId="9" borderId="10" xfId="0" applyFont="1" applyFill="1" applyBorder="1" applyAlignment="1">
      <alignment horizontal="center"/>
    </xf>
    <xf numFmtId="164" fontId="18" fillId="9" borderId="11" xfId="1" applyNumberFormat="1" applyFont="1" applyFill="1" applyBorder="1" applyAlignment="1">
      <alignment horizontal="center"/>
    </xf>
    <xf numFmtId="1" fontId="18" fillId="9" borderId="11" xfId="1" applyNumberFormat="1" applyFont="1" applyFill="1" applyBorder="1" applyAlignment="1">
      <alignment horizontal="center"/>
    </xf>
    <xf numFmtId="14" fontId="19" fillId="2" borderId="14" xfId="1" applyNumberFormat="1" applyFont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0" fontId="19" fillId="2" borderId="2" xfId="1" applyFont="1" applyBorder="1" applyAlignment="1">
      <alignment horizontal="center"/>
    </xf>
    <xf numFmtId="0" fontId="19" fillId="2" borderId="6" xfId="1" applyFont="1" applyBorder="1" applyAlignment="1">
      <alignment horizontal="center"/>
    </xf>
    <xf numFmtId="164" fontId="18" fillId="15" borderId="3" xfId="0" applyNumberFormat="1" applyFont="1" applyFill="1" applyBorder="1" applyAlignment="1">
      <alignment horizontal="center"/>
    </xf>
    <xf numFmtId="164" fontId="18" fillId="15" borderId="4" xfId="0" applyNumberFormat="1" applyFont="1" applyFill="1" applyBorder="1" applyAlignment="1">
      <alignment horizontal="center"/>
    </xf>
    <xf numFmtId="10" fontId="18" fillId="15" borderId="4" xfId="0" applyNumberFormat="1" applyFont="1" applyFill="1" applyBorder="1" applyAlignment="1">
      <alignment horizontal="center"/>
    </xf>
    <xf numFmtId="1" fontId="18" fillId="15" borderId="5" xfId="0" applyNumberFormat="1" applyFont="1" applyFill="1" applyBorder="1" applyAlignment="1">
      <alignment horizontal="center"/>
    </xf>
    <xf numFmtId="164" fontId="18" fillId="5" borderId="3" xfId="0" applyNumberFormat="1" applyFont="1" applyFill="1" applyBorder="1" applyAlignment="1">
      <alignment horizontal="center"/>
    </xf>
    <xf numFmtId="164" fontId="18" fillId="5" borderId="4" xfId="0" applyNumberFormat="1" applyFont="1" applyFill="1" applyBorder="1" applyAlignment="1">
      <alignment horizontal="center"/>
    </xf>
    <xf numFmtId="10" fontId="18" fillId="5" borderId="4" xfId="0" applyNumberFormat="1" applyFont="1" applyFill="1" applyBorder="1" applyAlignment="1">
      <alignment horizontal="center"/>
    </xf>
    <xf numFmtId="1" fontId="18" fillId="5" borderId="5" xfId="0" applyNumberFormat="1" applyFont="1" applyFill="1" applyBorder="1" applyAlignment="1">
      <alignment horizontal="center"/>
    </xf>
    <xf numFmtId="164" fontId="18" fillId="6" borderId="3" xfId="0" applyNumberFormat="1" applyFont="1" applyFill="1" applyBorder="1" applyAlignment="1">
      <alignment horizontal="center"/>
    </xf>
    <xf numFmtId="164" fontId="18" fillId="6" borderId="4" xfId="0" applyNumberFormat="1" applyFont="1" applyFill="1" applyBorder="1" applyAlignment="1">
      <alignment horizontal="center"/>
    </xf>
    <xf numFmtId="10" fontId="18" fillId="6" borderId="4" xfId="0" applyNumberFormat="1" applyFont="1" applyFill="1" applyBorder="1" applyAlignment="1">
      <alignment horizontal="center"/>
    </xf>
    <xf numFmtId="1" fontId="18" fillId="6" borderId="5" xfId="0" applyNumberFormat="1" applyFont="1" applyFill="1" applyBorder="1" applyAlignment="1">
      <alignment horizontal="center"/>
    </xf>
    <xf numFmtId="164" fontId="18" fillId="8" borderId="3" xfId="0" applyNumberFormat="1" applyFont="1" applyFill="1" applyBorder="1" applyAlignment="1">
      <alignment horizontal="center"/>
    </xf>
    <xf numFmtId="164" fontId="18" fillId="8" borderId="4" xfId="0" applyNumberFormat="1" applyFont="1" applyFill="1" applyBorder="1" applyAlignment="1">
      <alignment horizontal="center"/>
    </xf>
    <xf numFmtId="10" fontId="18" fillId="8" borderId="4" xfId="0" applyNumberFormat="1" applyFont="1" applyFill="1" applyBorder="1" applyAlignment="1">
      <alignment horizontal="center"/>
    </xf>
    <xf numFmtId="1" fontId="18" fillId="8" borderId="5" xfId="0" applyNumberFormat="1" applyFont="1" applyFill="1" applyBorder="1" applyAlignment="1">
      <alignment horizontal="center"/>
    </xf>
    <xf numFmtId="0" fontId="19" fillId="2" borderId="11" xfId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13" fillId="0" borderId="0" xfId="0" applyNumberFormat="1" applyFont="1" applyAlignment="1">
      <alignment horizontal="right"/>
    </xf>
    <xf numFmtId="165" fontId="18" fillId="4" borderId="0" xfId="0" applyNumberFormat="1" applyFont="1" applyFill="1"/>
    <xf numFmtId="165" fontId="18" fillId="4" borderId="0" xfId="0" applyNumberFormat="1" applyFont="1" applyFill="1" applyAlignment="1">
      <alignment horizontal="right"/>
    </xf>
    <xf numFmtId="0" fontId="18" fillId="18" borderId="10" xfId="0" applyFont="1" applyFill="1" applyBorder="1" applyAlignment="1">
      <alignment horizontal="center" wrapText="1"/>
    </xf>
    <xf numFmtId="10" fontId="18" fillId="7" borderId="0" xfId="0" applyNumberFormat="1" applyFont="1" applyFill="1" applyAlignment="1">
      <alignment horizontal="center"/>
    </xf>
    <xf numFmtId="10" fontId="18" fillId="5" borderId="0" xfId="0" applyNumberFormat="1" applyFont="1" applyFill="1" applyAlignment="1">
      <alignment horizontal="center"/>
    </xf>
    <xf numFmtId="10" fontId="18" fillId="6" borderId="0" xfId="0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14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64" fontId="13" fillId="4" borderId="0" xfId="0" applyNumberFormat="1" applyFont="1" applyFill="1" applyAlignment="1">
      <alignment horizontal="center"/>
    </xf>
    <xf numFmtId="1" fontId="13" fillId="4" borderId="0" xfId="0" applyNumberFormat="1" applyFont="1" applyFill="1" applyAlignment="1">
      <alignment horizontal="center"/>
    </xf>
    <xf numFmtId="165" fontId="13" fillId="4" borderId="0" xfId="0" applyNumberFormat="1" applyFont="1" applyFill="1" applyAlignment="1">
      <alignment horizontal="center"/>
    </xf>
    <xf numFmtId="164" fontId="11" fillId="0" borderId="9" xfId="0" applyNumberFormat="1" applyFont="1" applyBorder="1" applyAlignment="1">
      <alignment horizontal="right"/>
    </xf>
    <xf numFmtId="164" fontId="15" fillId="14" borderId="0" xfId="0" applyNumberFormat="1" applyFont="1" applyFill="1" applyAlignment="1">
      <alignment horizontal="center"/>
    </xf>
    <xf numFmtId="0" fontId="18" fillId="19" borderId="0" xfId="1" applyFont="1" applyFill="1" applyBorder="1" applyAlignment="1">
      <alignment horizontal="center"/>
    </xf>
    <xf numFmtId="0" fontId="18" fillId="20" borderId="0" xfId="1" applyFont="1" applyFill="1" applyBorder="1" applyAlignment="1">
      <alignment horizontal="center"/>
    </xf>
    <xf numFmtId="0" fontId="18" fillId="19" borderId="10" xfId="0" applyFont="1" applyFill="1" applyBorder="1" applyAlignment="1">
      <alignment horizontal="center"/>
    </xf>
    <xf numFmtId="0" fontId="19" fillId="2" borderId="7" xfId="1" applyFont="1" applyBorder="1" applyAlignment="1">
      <alignment horizontal="center"/>
    </xf>
    <xf numFmtId="0" fontId="18" fillId="8" borderId="0" xfId="1" applyFont="1" applyFill="1" applyBorder="1" applyAlignment="1">
      <alignment horizontal="center"/>
    </xf>
    <xf numFmtId="164" fontId="15" fillId="0" borderId="14" xfId="0" applyNumberFormat="1" applyFont="1" applyBorder="1" applyAlignment="1">
      <alignment horizontal="right"/>
    </xf>
    <xf numFmtId="164" fontId="18" fillId="18" borderId="0" xfId="0" applyNumberFormat="1" applyFont="1" applyFill="1" applyAlignment="1">
      <alignment horizontal="center"/>
    </xf>
    <xf numFmtId="164" fontId="18" fillId="0" borderId="0" xfId="0" applyNumberFormat="1" applyFont="1" applyAlignment="1">
      <alignment horizontal="right"/>
    </xf>
    <xf numFmtId="164" fontId="18" fillId="17" borderId="0" xfId="0" applyNumberFormat="1" applyFont="1" applyFill="1" applyAlignment="1">
      <alignment horizontal="center"/>
    </xf>
    <xf numFmtId="10" fontId="18" fillId="8" borderId="0" xfId="0" applyNumberFormat="1" applyFont="1" applyFill="1" applyAlignment="1">
      <alignment horizontal="center"/>
    </xf>
    <xf numFmtId="164" fontId="18" fillId="11" borderId="0" xfId="0" applyNumberFormat="1" applyFont="1" applyFill="1" applyAlignment="1">
      <alignment horizontal="center"/>
    </xf>
    <xf numFmtId="0" fontId="18" fillId="22" borderId="0" xfId="0" applyFont="1" applyFill="1" applyAlignment="1">
      <alignment horizontal="center"/>
    </xf>
    <xf numFmtId="0" fontId="9" fillId="0" borderId="0" xfId="0" applyFont="1"/>
    <xf numFmtId="164" fontId="11" fillId="0" borderId="0" xfId="0" applyNumberFormat="1" applyFont="1"/>
    <xf numFmtId="0" fontId="11" fillId="16" borderId="3" xfId="0" applyFont="1" applyFill="1" applyBorder="1" applyAlignment="1">
      <alignment horizontal="center"/>
    </xf>
    <xf numFmtId="0" fontId="18" fillId="4" borderId="5" xfId="1" applyFont="1" applyFill="1" applyBorder="1" applyAlignment="1">
      <alignment horizontal="center"/>
    </xf>
    <xf numFmtId="164" fontId="11" fillId="0" borderId="9" xfId="0" applyNumberFormat="1" applyFont="1" applyBorder="1"/>
    <xf numFmtId="164" fontId="11" fillId="0" borderId="8" xfId="0" applyNumberFormat="1" applyFont="1" applyBorder="1"/>
    <xf numFmtId="164" fontId="11" fillId="0" borderId="8" xfId="0" applyNumberFormat="1" applyFont="1" applyBorder="1" applyAlignment="1">
      <alignment horizontal="right"/>
    </xf>
    <xf numFmtId="0" fontId="18" fillId="17" borderId="2" xfId="0" applyFont="1" applyFill="1" applyBorder="1" applyAlignment="1">
      <alignment horizontal="center" wrapText="1"/>
    </xf>
    <xf numFmtId="0" fontId="18" fillId="8" borderId="6" xfId="0" applyFont="1" applyFill="1" applyBorder="1" applyAlignment="1">
      <alignment horizontal="center"/>
    </xf>
    <xf numFmtId="0" fontId="18" fillId="17" borderId="3" xfId="0" applyFont="1" applyFill="1" applyBorder="1" applyAlignment="1">
      <alignment horizontal="center"/>
    </xf>
    <xf numFmtId="3" fontId="15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3" fontId="18" fillId="5" borderId="0" xfId="0" applyNumberFormat="1" applyFont="1" applyFill="1" applyAlignment="1">
      <alignment horizontal="right"/>
    </xf>
    <xf numFmtId="3" fontId="18" fillId="7" borderId="0" xfId="0" applyNumberFormat="1" applyFont="1" applyFill="1" applyAlignment="1">
      <alignment horizontal="right"/>
    </xf>
    <xf numFmtId="3" fontId="18" fillId="6" borderId="0" xfId="0" applyNumberFormat="1" applyFont="1" applyFill="1" applyAlignment="1">
      <alignment horizontal="right"/>
    </xf>
    <xf numFmtId="3" fontId="18" fillId="8" borderId="0" xfId="0" applyNumberFormat="1" applyFont="1" applyFill="1" applyAlignment="1">
      <alignment horizontal="right"/>
    </xf>
    <xf numFmtId="3" fontId="18" fillId="4" borderId="0" xfId="0" applyNumberFormat="1" applyFont="1" applyFill="1"/>
    <xf numFmtId="3" fontId="18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  <xf numFmtId="3" fontId="18" fillId="4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0" fontId="9" fillId="9" borderId="0" xfId="0" applyFont="1" applyFill="1"/>
    <xf numFmtId="3" fontId="13" fillId="0" borderId="0" xfId="0" applyNumberFormat="1" applyFont="1" applyAlignment="1">
      <alignment horizontal="center"/>
    </xf>
    <xf numFmtId="3" fontId="18" fillId="7" borderId="0" xfId="0" applyNumberFormat="1" applyFont="1" applyFill="1" applyAlignment="1">
      <alignment horizontal="center"/>
    </xf>
    <xf numFmtId="3" fontId="18" fillId="8" borderId="0" xfId="0" applyNumberFormat="1" applyFont="1" applyFill="1" applyAlignment="1">
      <alignment horizontal="center"/>
    </xf>
    <xf numFmtId="3" fontId="18" fillId="6" borderId="0" xfId="0" applyNumberFormat="1" applyFont="1" applyFill="1" applyAlignment="1">
      <alignment horizontal="center"/>
    </xf>
    <xf numFmtId="3" fontId="18" fillId="5" borderId="0" xfId="0" applyNumberFormat="1" applyFont="1" applyFill="1" applyAlignment="1">
      <alignment horizontal="center"/>
    </xf>
    <xf numFmtId="0" fontId="18" fillId="17" borderId="14" xfId="0" applyFont="1" applyFill="1" applyBorder="1" applyAlignment="1">
      <alignment horizontal="center"/>
    </xf>
    <xf numFmtId="14" fontId="19" fillId="2" borderId="2" xfId="1" applyNumberFormat="1" applyFont="1" applyBorder="1" applyAlignment="1">
      <alignment horizontal="center"/>
    </xf>
    <xf numFmtId="14" fontId="19" fillId="2" borderId="6" xfId="1" applyNumberFormat="1" applyFont="1" applyBorder="1" applyAlignment="1">
      <alignment horizontal="center"/>
    </xf>
    <xf numFmtId="0" fontId="18" fillId="4" borderId="13" xfId="1" applyFont="1" applyFill="1" applyBorder="1" applyAlignment="1">
      <alignment horizontal="center" vertical="center"/>
    </xf>
    <xf numFmtId="0" fontId="18" fillId="4" borderId="14" xfId="1" applyFont="1" applyFill="1" applyBorder="1" applyAlignment="1">
      <alignment horizontal="center" vertical="center"/>
    </xf>
    <xf numFmtId="0" fontId="18" fillId="6" borderId="0" xfId="1" applyFont="1" applyFill="1" applyBorder="1" applyAlignment="1">
      <alignment horizontal="center"/>
    </xf>
    <xf numFmtId="164" fontId="18" fillId="4" borderId="12" xfId="0" applyNumberFormat="1" applyFont="1" applyFill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0" fontId="15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164" fontId="15" fillId="0" borderId="4" xfId="0" applyNumberFormat="1" applyFont="1" applyBorder="1"/>
    <xf numFmtId="0" fontId="15" fillId="0" borderId="4" xfId="0" applyFont="1" applyBorder="1" applyAlignment="1">
      <alignment horizontal="center"/>
    </xf>
    <xf numFmtId="164" fontId="18" fillId="4" borderId="5" xfId="0" applyNumberFormat="1" applyFont="1" applyFill="1" applyBorder="1" applyAlignment="1">
      <alignment horizontal="center"/>
    </xf>
    <xf numFmtId="1" fontId="18" fillId="13" borderId="3" xfId="0" applyNumberFormat="1" applyFont="1" applyFill="1" applyBorder="1" applyAlignment="1">
      <alignment horizontal="center"/>
    </xf>
    <xf numFmtId="164" fontId="18" fillId="23" borderId="0" xfId="0" applyNumberFormat="1" applyFont="1" applyFill="1"/>
    <xf numFmtId="10" fontId="18" fillId="23" borderId="0" xfId="0" applyNumberFormat="1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164" fontId="18" fillId="6" borderId="0" xfId="0" applyNumberFormat="1" applyFont="1" applyFill="1"/>
    <xf numFmtId="164" fontId="18" fillId="17" borderId="0" xfId="0" applyNumberFormat="1" applyFont="1" applyFill="1"/>
    <xf numFmtId="164" fontId="12" fillId="0" borderId="0" xfId="0" applyNumberFormat="1" applyFont="1" applyAlignment="1">
      <alignment horizontal="left"/>
    </xf>
    <xf numFmtId="164" fontId="12" fillId="0" borderId="0" xfId="0" applyNumberFormat="1" applyFont="1"/>
    <xf numFmtId="0" fontId="18" fillId="4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18" fillId="21" borderId="0" xfId="0" applyNumberFormat="1" applyFont="1" applyFill="1"/>
    <xf numFmtId="164" fontId="10" fillId="0" borderId="0" xfId="0" applyNumberFormat="1" applyFont="1"/>
    <xf numFmtId="164" fontId="18" fillId="12" borderId="0" xfId="0" applyNumberFormat="1" applyFont="1" applyFill="1"/>
    <xf numFmtId="0" fontId="18" fillId="5" borderId="0" xfId="0" applyFont="1" applyFill="1"/>
    <xf numFmtId="10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0" fontId="18" fillId="24" borderId="0" xfId="0" applyFont="1" applyFill="1" applyAlignment="1">
      <alignment horizontal="center"/>
    </xf>
    <xf numFmtId="0" fontId="18" fillId="9" borderId="0" xfId="1" applyFont="1" applyFill="1" applyBorder="1" applyAlignment="1">
      <alignment horizontal="center"/>
    </xf>
    <xf numFmtId="164" fontId="18" fillId="10" borderId="0" xfId="0" applyNumberFormat="1" applyFont="1" applyFill="1" applyAlignment="1">
      <alignment horizontal="right"/>
    </xf>
    <xf numFmtId="0" fontId="18" fillId="25" borderId="0" xfId="1" applyFont="1" applyFill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0" fontId="18" fillId="10" borderId="3" xfId="0" applyFont="1" applyFill="1" applyBorder="1"/>
    <xf numFmtId="164" fontId="18" fillId="8" borderId="15" xfId="0" applyNumberFormat="1" applyFont="1" applyFill="1" applyBorder="1" applyAlignment="1">
      <alignment horizontal="center"/>
    </xf>
    <xf numFmtId="0" fontId="18" fillId="10" borderId="15" xfId="0" applyFont="1" applyFill="1" applyBorder="1"/>
    <xf numFmtId="164" fontId="15" fillId="0" borderId="0" xfId="0" applyNumberFormat="1" applyFont="1"/>
    <xf numFmtId="0" fontId="18" fillId="9" borderId="11" xfId="1" applyFont="1" applyFill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164" fontId="8" fillId="14" borderId="0" xfId="0" applyNumberFormat="1" applyFont="1" applyFill="1"/>
    <xf numFmtId="0" fontId="8" fillId="16" borderId="0" xfId="0" applyFont="1" applyFill="1"/>
    <xf numFmtId="3" fontId="18" fillId="4" borderId="4" xfId="0" applyNumberFormat="1" applyFont="1" applyFill="1" applyBorder="1" applyAlignment="1">
      <alignment horizontal="center"/>
    </xf>
    <xf numFmtId="164" fontId="18" fillId="4" borderId="4" xfId="0" applyNumberFormat="1" applyFont="1" applyFill="1" applyBorder="1" applyAlignment="1">
      <alignment horizontal="right"/>
    </xf>
    <xf numFmtId="3" fontId="18" fillId="4" borderId="4" xfId="0" applyNumberFormat="1" applyFont="1" applyFill="1" applyBorder="1" applyAlignment="1">
      <alignment horizontal="right"/>
    </xf>
    <xf numFmtId="165" fontId="18" fillId="4" borderId="4" xfId="0" applyNumberFormat="1" applyFont="1" applyFill="1" applyBorder="1" applyAlignment="1">
      <alignment horizontal="right"/>
    </xf>
    <xf numFmtId="10" fontId="18" fillId="4" borderId="4" xfId="0" applyNumberFormat="1" applyFont="1" applyFill="1" applyBorder="1" applyAlignment="1">
      <alignment horizontal="right"/>
    </xf>
    <xf numFmtId="2" fontId="13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166" fontId="15" fillId="0" borderId="0" xfId="0" applyNumberFormat="1" applyFont="1" applyAlignment="1">
      <alignment horizontal="center"/>
    </xf>
    <xf numFmtId="0" fontId="18" fillId="10" borderId="3" xfId="0" applyFont="1" applyFill="1" applyBorder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4" xfId="0" applyNumberFormat="1" applyFont="1" applyBorder="1"/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16" borderId="0" xfId="0" applyFont="1" applyFill="1" applyAlignment="1">
      <alignment horizontal="center"/>
    </xf>
    <xf numFmtId="14" fontId="4" fillId="16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" fontId="4" fillId="16" borderId="0" xfId="0" applyNumberFormat="1" applyFont="1" applyFill="1" applyAlignment="1">
      <alignment horizontal="center"/>
    </xf>
    <xf numFmtId="165" fontId="4" fillId="16" borderId="0" xfId="0" applyNumberFormat="1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164" fontId="18" fillId="9" borderId="4" xfId="0" applyNumberFormat="1" applyFont="1" applyFill="1" applyBorder="1" applyAlignment="1">
      <alignment horizontal="center"/>
    </xf>
    <xf numFmtId="0" fontId="3" fillId="26" borderId="0" xfId="0" applyFont="1" applyFill="1"/>
    <xf numFmtId="164" fontId="18" fillId="9" borderId="5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19" fillId="28" borderId="0" xfId="1" applyFont="1" applyFill="1" applyBorder="1" applyAlignment="1">
      <alignment horizontal="center"/>
    </xf>
    <xf numFmtId="0" fontId="19" fillId="29" borderId="0" xfId="1" applyFont="1" applyFill="1" applyBorder="1" applyAlignment="1">
      <alignment horizontal="center"/>
    </xf>
    <xf numFmtId="14" fontId="2" fillId="14" borderId="4" xfId="0" applyNumberFormat="1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1" fillId="0" borderId="0" xfId="0" applyFont="1"/>
    <xf numFmtId="0" fontId="18" fillId="5" borderId="0" xfId="0" applyFont="1" applyFill="1" applyAlignment="1">
      <alignment horizontal="center"/>
    </xf>
    <xf numFmtId="0" fontId="20" fillId="27" borderId="0" xfId="1" applyNumberFormat="1" applyFont="1" applyFill="1" applyBorder="1" applyAlignment="1">
      <alignment horizontal="center"/>
    </xf>
    <xf numFmtId="0" fontId="18" fillId="7" borderId="0" xfId="0" applyFont="1" applyFill="1" applyAlignment="1">
      <alignment horizontal="center" vertical="center" textRotation="90"/>
    </xf>
    <xf numFmtId="0" fontId="18" fillId="5" borderId="0" xfId="0" applyFont="1" applyFill="1" applyAlignment="1">
      <alignment horizontal="center" vertical="center" textRotation="90"/>
    </xf>
    <xf numFmtId="0" fontId="18" fillId="6" borderId="0" xfId="0" applyFont="1" applyFill="1" applyAlignment="1">
      <alignment horizontal="center" vertical="center" textRotation="90"/>
    </xf>
    <xf numFmtId="0" fontId="18" fillId="8" borderId="0" xfId="0" applyFont="1" applyFill="1" applyAlignment="1">
      <alignment horizontal="center" vertical="center" textRotation="90"/>
    </xf>
    <xf numFmtId="0" fontId="18" fillId="19" borderId="10" xfId="0" applyFont="1" applyFill="1" applyBorder="1" applyAlignment="1">
      <alignment horizontal="center"/>
    </xf>
    <xf numFmtId="0" fontId="18" fillId="19" borderId="11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18" fillId="13" borderId="0" xfId="1" applyFont="1" applyFill="1" applyBorder="1" applyAlignment="1">
      <alignment horizontal="center"/>
    </xf>
    <xf numFmtId="0" fontId="18" fillId="18" borderId="0" xfId="1" applyFont="1" applyFill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0" fontId="18" fillId="8" borderId="12" xfId="0" applyFont="1" applyFill="1" applyBorder="1" applyAlignment="1">
      <alignment horizontal="center"/>
    </xf>
    <xf numFmtId="0" fontId="18" fillId="18" borderId="7" xfId="1" applyFont="1" applyFill="1" applyBorder="1" applyAlignment="1">
      <alignment horizontal="center"/>
    </xf>
    <xf numFmtId="0" fontId="18" fillId="18" borderId="9" xfId="1" applyFont="1" applyFill="1" applyBorder="1" applyAlignment="1">
      <alignment horizontal="center"/>
    </xf>
    <xf numFmtId="0" fontId="18" fillId="18" borderId="8" xfId="1" applyFont="1" applyFill="1" applyBorder="1" applyAlignment="1">
      <alignment horizontal="center"/>
    </xf>
    <xf numFmtId="0" fontId="18" fillId="17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/>
    </xf>
    <xf numFmtId="0" fontId="18" fillId="7" borderId="11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center"/>
    </xf>
    <xf numFmtId="0" fontId="18" fillId="15" borderId="2" xfId="0" applyFont="1" applyFill="1" applyBorder="1" applyAlignment="1">
      <alignment horizontal="center"/>
    </xf>
    <xf numFmtId="0" fontId="18" fillId="15" borderId="0" xfId="0" applyFont="1" applyFill="1" applyAlignment="1">
      <alignment horizontal="center"/>
    </xf>
    <xf numFmtId="0" fontId="18" fillId="15" borderId="6" xfId="0" applyFont="1" applyFill="1" applyBorder="1" applyAlignment="1">
      <alignment horizontal="center"/>
    </xf>
    <xf numFmtId="1" fontId="18" fillId="5" borderId="2" xfId="0" applyNumberFormat="1" applyFont="1" applyFill="1" applyBorder="1" applyAlignment="1">
      <alignment horizontal="center"/>
    </xf>
    <xf numFmtId="1" fontId="18" fillId="5" borderId="0" xfId="0" applyNumberFormat="1" applyFont="1" applyFill="1" applyAlignment="1">
      <alignment horizontal="center"/>
    </xf>
    <xf numFmtId="1" fontId="18" fillId="5" borderId="6" xfId="0" applyNumberFormat="1" applyFont="1" applyFill="1" applyBorder="1" applyAlignment="1">
      <alignment horizontal="center"/>
    </xf>
    <xf numFmtId="164" fontId="18" fillId="6" borderId="2" xfId="0" applyNumberFormat="1" applyFont="1" applyFill="1" applyBorder="1" applyAlignment="1">
      <alignment horizontal="center"/>
    </xf>
    <xf numFmtId="164" fontId="18" fillId="6" borderId="11" xfId="0" applyNumberFormat="1" applyFont="1" applyFill="1" applyBorder="1" applyAlignment="1">
      <alignment horizontal="center"/>
    </xf>
    <xf numFmtId="164" fontId="18" fillId="6" borderId="12" xfId="0" applyNumberFormat="1" applyFont="1" applyFill="1" applyBorder="1" applyAlignment="1">
      <alignment horizontal="center"/>
    </xf>
    <xf numFmtId="164" fontId="18" fillId="8" borderId="10" xfId="0" applyNumberFormat="1" applyFont="1" applyFill="1" applyBorder="1" applyAlignment="1">
      <alignment horizontal="center"/>
    </xf>
    <xf numFmtId="164" fontId="18" fillId="8" borderId="11" xfId="0" applyNumberFormat="1" applyFont="1" applyFill="1" applyBorder="1" applyAlignment="1">
      <alignment horizontal="center"/>
    </xf>
    <xf numFmtId="164" fontId="18" fillId="8" borderId="12" xfId="0" applyNumberFormat="1" applyFont="1" applyFill="1" applyBorder="1" applyAlignment="1">
      <alignment horizontal="center"/>
    </xf>
  </cellXfs>
  <cellStyles count="3">
    <cellStyle name="Entrada" xfId="1" builtinId="20"/>
    <cellStyle name="Normal" xfId="0" builtinId="0"/>
    <cellStyle name="Porcentaje" xfId="2" builtinId="5"/>
  </cellStyles>
  <dxfs count="384"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70C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color theme="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70C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theme="0"/>
      </font>
      <fill>
        <patternFill>
          <bgColor rgb="FF00B050"/>
        </patternFill>
      </fill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theme="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 val="0"/>
        <color rgb="FF00B050"/>
      </font>
    </dxf>
    <dxf>
      <font>
        <color theme="0"/>
      </font>
      <fill>
        <patternFill>
          <bgColor theme="9" tint="-0.24994659260841701"/>
        </patternFill>
      </fill>
    </dxf>
    <dxf>
      <font>
        <b val="0"/>
        <i val="0"/>
        <color rgb="FF0070C0"/>
      </font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theme="0"/>
      </font>
      <fill>
        <patternFill>
          <bgColor rgb="FF0070C0"/>
        </patternFill>
      </fill>
    </dxf>
    <dxf>
      <font>
        <color rgb="FFFF0000"/>
      </font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theme="0"/>
      </font>
      <fill>
        <patternFill>
          <bgColor rgb="FF00B050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color rgb="FFFF000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color rgb="FFFF0000"/>
      </font>
    </dxf>
    <dxf>
      <font>
        <b val="0"/>
        <i val="0"/>
        <color rgb="FF0070C0"/>
      </font>
    </dxf>
    <dxf>
      <font>
        <b val="0"/>
        <i val="0"/>
        <color rgb="FF00B050"/>
      </font>
    </dxf>
    <dxf>
      <font>
        <b val="0"/>
        <i val="0"/>
        <color rgb="FF0070C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1918F-601C-4F68-9D84-E69D5BA809B3}" name="Tabla1" displayName="Tabla1" ref="B3:B6" totalsRowShown="0" headerRowDxfId="383" dataDxfId="382">
  <autoFilter ref="B3:B6" xr:uid="{9E11918F-601C-4F68-9D84-E69D5BA809B3}"/>
  <tableColumns count="1">
    <tableColumn id="1" xr3:uid="{6920E7F4-FB8F-4FD1-BBE1-2DE15505676B}" name="Estado" dataDxfId="3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520A44-2DF9-4E6D-A42A-8CDCB2058DB1}" name="Tabla2" displayName="Tabla2" ref="C3:C10" totalsRowShown="0" headerRowDxfId="380" dataDxfId="379">
  <autoFilter ref="C3:C10" xr:uid="{B2520A44-2DF9-4E6D-A42A-8CDCB2058DB1}"/>
  <tableColumns count="1">
    <tableColumn id="1" xr3:uid="{6DE8C2F3-B6F7-4F3B-B3BE-7C4EC7449EA4}" name="Valores" dataDxfId="3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C1FAE5-12C3-4DDC-978D-E002475A9895}" name="Tabla24" displayName="Tabla24" ref="D3:D7" totalsRowShown="0" headerRowDxfId="377" dataDxfId="376">
  <autoFilter ref="D3:D7" xr:uid="{E1C1FAE5-12C3-4DDC-978D-E002475A9895}"/>
  <tableColumns count="1">
    <tableColumn id="1" xr3:uid="{C36B1518-7D60-41C1-93D4-590EB92C4BFF}" name="Cuentas" dataDxfId="3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3F6588-B068-4CF2-A81F-59B2D9F2FA9E}" name="Tabla245" displayName="Tabla245" ref="E3:E15" totalsRowShown="0" headerRowDxfId="374" dataDxfId="373">
  <autoFilter ref="E3:E15" xr:uid="{0B3F6588-B068-4CF2-A81F-59B2D9F2FA9E}"/>
  <tableColumns count="1">
    <tableColumn id="1" xr3:uid="{DCCA44EB-2444-4F29-BCF5-E06A7E07D4EF}" name="Mes" dataDxfId="3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DBC83A-E7CA-4EE5-B1FB-0E4156F10CD6}" name="Tabla246" displayName="Tabla246" ref="F3:F7" totalsRowShown="0" headerRowDxfId="371" dataDxfId="370">
  <autoFilter ref="F3:F7" xr:uid="{D6DBC83A-E7CA-4EE5-B1FB-0E4156F10CD6}"/>
  <tableColumns count="1">
    <tableColumn id="1" xr3:uid="{99173389-8425-40A1-A960-AEA4AFA14AB9}" name="Nombre Cuentas" dataDxfId="3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A532AF-8550-47AC-98EE-0092EC209538}" name="Tabla17" displayName="Tabla17" ref="G3:G6" totalsRowShown="0" headerRowDxfId="368" dataDxfId="367">
  <autoFilter ref="G3:G6" xr:uid="{9DA532AF-8550-47AC-98EE-0092EC209538}"/>
  <tableColumns count="1">
    <tableColumn id="1" xr3:uid="{DB0B7AC6-983F-4DB2-A967-29121DBE9DD7}" name="Transferencias" dataDxfId="3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1C541E-87D0-4F3B-B7E1-C59DD628D545}" name="Tabla178" displayName="Tabla178" ref="H3:H6" totalsRowShown="0" headerRowDxfId="365" dataDxfId="364">
  <autoFilter ref="H3:H6" xr:uid="{5A1C541E-87D0-4F3B-B7E1-C59DD628D545}"/>
  <tableColumns count="1">
    <tableColumn id="1" xr3:uid="{825BEF61-1FC9-4963-84D6-D23A7334DB6B}" name="Años" dataDxfId="36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C36925-2544-4C22-A890-78DF57FD9B2C}" name="Tabla8" displayName="Tabla8" ref="I3:I4" totalsRowShown="0" headerRowDxfId="362" dataDxfId="361">
  <autoFilter ref="I3:I4" xr:uid="{13C36925-2544-4C22-A890-78DF57FD9B2C}"/>
  <tableColumns count="1">
    <tableColumn id="1" xr3:uid="{8B7442C3-ED32-40E0-A1E6-CE8F52AD4869}" name="Cta-1" dataDxfId="3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0A81F8-D455-4025-8816-A887C38FF048}" name="Tabla9" displayName="Tabla9" ref="J3:J4" totalsRowShown="0" headerRowDxfId="359" dataDxfId="358">
  <autoFilter ref="J3:J4" xr:uid="{D80A81F8-D455-4025-8816-A887C38FF048}"/>
  <tableColumns count="1">
    <tableColumn id="1" xr3:uid="{9BE933EA-C3A1-4963-A36F-B5481B75E033}" name="Cta-2" dataDxfId="35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1D0946-D7EA-49FF-8161-5C63CBC1C34B}" name="Tabla10" displayName="Tabla10" ref="K3:K4" totalsRowShown="0" headerRowDxfId="356" dataDxfId="355">
  <autoFilter ref="K3:K4" xr:uid="{8D1D0946-D7EA-49FF-8161-5C63CBC1C34B}"/>
  <tableColumns count="1">
    <tableColumn id="1" xr3:uid="{E6EC6362-90E7-494B-81FE-E2F433BED26D}" name="Cta-3" dataDxfId="3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DD38D4-BBD9-46B8-B873-176F7FA77D1F}" name="Tabla11" displayName="Tabla11" ref="L3:L4" totalsRowShown="0" headerRowDxfId="353" dataDxfId="352">
  <autoFilter ref="L3:L4" xr:uid="{15DD38D4-BBD9-46B8-B873-176F7FA77D1F}"/>
  <tableColumns count="1">
    <tableColumn id="1" xr3:uid="{A66DED92-43D7-4100-A1CE-9BCDCB5F9FAE}" name="Cta-4" dataDxfId="3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36FA-78BD-4BAD-8F72-23F83F3C533A}">
  <dimension ref="A2:P55"/>
  <sheetViews>
    <sheetView tabSelected="1" zoomScaleNormal="100" workbookViewId="0">
      <selection activeCell="B3" sqref="B3"/>
    </sheetView>
  </sheetViews>
  <sheetFormatPr baseColWidth="10" defaultColWidth="5.28515625" defaultRowHeight="12.75" x14ac:dyDescent="0.2"/>
  <cols>
    <col min="1" max="1" width="5.28515625" style="38" customWidth="1"/>
    <col min="2" max="2" width="13.42578125" style="38" bestFit="1" customWidth="1"/>
    <col min="3" max="3" width="12.28515625" style="38" bestFit="1" customWidth="1"/>
    <col min="4" max="4" width="11.28515625" style="38" bestFit="1" customWidth="1"/>
    <col min="5" max="5" width="10.28515625" style="38" bestFit="1" customWidth="1"/>
    <col min="6" max="6" width="10.28515625" style="38" customWidth="1"/>
    <col min="7" max="7" width="10" style="38" bestFit="1" customWidth="1"/>
    <col min="8" max="8" width="9.28515625" style="38" bestFit="1" customWidth="1"/>
    <col min="9" max="9" width="13.5703125" style="38" bestFit="1" customWidth="1"/>
    <col min="10" max="10" width="7.85546875" style="38" bestFit="1" customWidth="1"/>
    <col min="11" max="11" width="10.140625" style="38" bestFit="1" customWidth="1"/>
    <col min="12" max="12" width="10.5703125" style="38" bestFit="1" customWidth="1"/>
    <col min="13" max="13" width="7.5703125" style="38" bestFit="1" customWidth="1"/>
    <col min="14" max="14" width="7.85546875" style="38" bestFit="1" customWidth="1"/>
    <col min="15" max="16384" width="5.28515625" style="38"/>
  </cols>
  <sheetData>
    <row r="2" spans="1:16" x14ac:dyDescent="0.2">
      <c r="B2" s="6" t="s">
        <v>61</v>
      </c>
      <c r="C2" s="6" t="s">
        <v>68</v>
      </c>
      <c r="D2" s="6" t="s">
        <v>126</v>
      </c>
      <c r="E2" s="6" t="s">
        <v>62</v>
      </c>
      <c r="F2" s="45" t="s">
        <v>144</v>
      </c>
    </row>
    <row r="3" spans="1:16" x14ac:dyDescent="0.2">
      <c r="B3" s="175">
        <f>G7</f>
        <v>5000</v>
      </c>
      <c r="C3" s="175">
        <f>G11</f>
        <v>6293.3895879999991</v>
      </c>
      <c r="D3" s="175">
        <f>C3-B3</f>
        <v>1293.3895879999991</v>
      </c>
      <c r="E3" s="176">
        <f>D3/B3</f>
        <v>0.25867791759999981</v>
      </c>
      <c r="F3" s="179">
        <f>N32+N31</f>
        <v>1015.6046909999992</v>
      </c>
    </row>
    <row r="4" spans="1:16" x14ac:dyDescent="0.2">
      <c r="O4" s="180"/>
      <c r="P4" s="181"/>
    </row>
    <row r="5" spans="1:16" x14ac:dyDescent="0.2">
      <c r="B5" s="182" t="s">
        <v>118</v>
      </c>
      <c r="C5" s="242" t="s">
        <v>175</v>
      </c>
      <c r="D5" s="243" t="s">
        <v>176</v>
      </c>
      <c r="E5" s="243" t="s">
        <v>177</v>
      </c>
      <c r="F5" s="243" t="s">
        <v>178</v>
      </c>
      <c r="J5" s="7" t="s">
        <v>26</v>
      </c>
      <c r="K5" s="8" t="s">
        <v>28</v>
      </c>
      <c r="L5" s="9" t="s">
        <v>40</v>
      </c>
      <c r="M5" s="26" t="s">
        <v>48</v>
      </c>
      <c r="N5" s="45" t="s">
        <v>42</v>
      </c>
    </row>
    <row r="6" spans="1:16" x14ac:dyDescent="0.2">
      <c r="B6" s="182" t="s">
        <v>119</v>
      </c>
      <c r="C6" s="7" t="s">
        <v>26</v>
      </c>
      <c r="D6" s="8" t="s">
        <v>28</v>
      </c>
      <c r="E6" s="9" t="s">
        <v>40</v>
      </c>
      <c r="F6" s="26" t="s">
        <v>48</v>
      </c>
      <c r="G6" s="45" t="s">
        <v>42</v>
      </c>
      <c r="I6" s="6" t="s">
        <v>170</v>
      </c>
      <c r="J6" s="181">
        <f>Operaciones!M4</f>
        <v>32.217819999999996</v>
      </c>
      <c r="K6" s="181">
        <f>Operaciones!M5</f>
        <v>0</v>
      </c>
      <c r="L6" s="181">
        <f>Operaciones!M6</f>
        <v>0</v>
      </c>
      <c r="M6" s="181">
        <f>Operaciones!M7</f>
        <v>0</v>
      </c>
      <c r="N6" s="181">
        <f>SUM(J6:M6)</f>
        <v>32.217819999999996</v>
      </c>
    </row>
    <row r="7" spans="1:16" x14ac:dyDescent="0.2">
      <c r="B7" s="6" t="s">
        <v>139</v>
      </c>
      <c r="C7" s="183">
        <f>Efectivo!C5</f>
        <v>5000</v>
      </c>
      <c r="D7" s="183">
        <f>Efectivo!D5</f>
        <v>0</v>
      </c>
      <c r="E7" s="183">
        <f>Efectivo!E5</f>
        <v>0</v>
      </c>
      <c r="F7" s="183">
        <f>Efectivo!F5</f>
        <v>0</v>
      </c>
      <c r="G7" s="181">
        <f>C7+D7+E7+F7</f>
        <v>5000</v>
      </c>
      <c r="I7" s="6" t="s">
        <v>171</v>
      </c>
      <c r="J7" s="183">
        <f>Operaciones!N4</f>
        <v>29.986491999999998</v>
      </c>
      <c r="K7" s="183">
        <f>Operaciones!N5</f>
        <v>0</v>
      </c>
      <c r="L7" s="183">
        <f>Operaciones!N6</f>
        <v>0</v>
      </c>
      <c r="M7" s="181">
        <f>Operaciones!N7</f>
        <v>0</v>
      </c>
      <c r="N7" s="181">
        <f>SUM(J7:M7)</f>
        <v>29.986491999999998</v>
      </c>
      <c r="P7" s="183"/>
    </row>
    <row r="8" spans="1:16" x14ac:dyDescent="0.2">
      <c r="B8" s="6" t="s">
        <v>136</v>
      </c>
      <c r="C8" s="183">
        <f>Efectivo!C6</f>
        <v>5000</v>
      </c>
      <c r="D8" s="183">
        <f>Efectivo!D6</f>
        <v>0</v>
      </c>
      <c r="E8" s="183">
        <f>Efectivo!E6</f>
        <v>0</v>
      </c>
      <c r="F8" s="183">
        <f>Efectivo!F6</f>
        <v>0</v>
      </c>
      <c r="G8" s="181">
        <f>C8+D8+E8+F8</f>
        <v>5000</v>
      </c>
      <c r="I8" s="125" t="s">
        <v>117</v>
      </c>
      <c r="J8" s="184">
        <f>SUM(J6:J7)</f>
        <v>62.204311999999994</v>
      </c>
      <c r="K8" s="184">
        <f t="shared" ref="K8:N8" si="0">SUM(K6:K7)</f>
        <v>0</v>
      </c>
      <c r="L8" s="184">
        <f t="shared" si="0"/>
        <v>0</v>
      </c>
      <c r="M8" s="184">
        <f t="shared" si="0"/>
        <v>0</v>
      </c>
      <c r="N8" s="184">
        <f t="shared" si="0"/>
        <v>62.204311999999994</v>
      </c>
    </row>
    <row r="9" spans="1:16" x14ac:dyDescent="0.2">
      <c r="B9" s="6" t="s">
        <v>60</v>
      </c>
      <c r="C9" s="181">
        <f>C16</f>
        <v>6167.6736000000001</v>
      </c>
      <c r="D9" s="181">
        <f>C17</f>
        <v>0</v>
      </c>
      <c r="E9" s="181">
        <f>C18</f>
        <v>0</v>
      </c>
      <c r="F9" s="181">
        <f>C19</f>
        <v>0</v>
      </c>
      <c r="G9" s="181">
        <f>C9+D9+E9+F9</f>
        <v>6167.6736000000001</v>
      </c>
    </row>
    <row r="10" spans="1:16" x14ac:dyDescent="0.2">
      <c r="B10" s="6" t="s">
        <v>116</v>
      </c>
      <c r="C10" s="181">
        <f>Operaciones!P4</f>
        <v>1111.1395879999991</v>
      </c>
      <c r="D10" s="181">
        <f>Operaciones!P5</f>
        <v>0</v>
      </c>
      <c r="E10" s="181">
        <f>Operaciones!P6</f>
        <v>0</v>
      </c>
      <c r="F10" s="181">
        <f>Operaciones!P7</f>
        <v>0</v>
      </c>
      <c r="G10" s="181">
        <f>C10+D10+E10+F10</f>
        <v>1111.1395879999991</v>
      </c>
      <c r="I10" s="6" t="s">
        <v>91</v>
      </c>
      <c r="J10" s="181">
        <f>Operaciones!O4</f>
        <v>53.689699999999995</v>
      </c>
      <c r="K10" s="181">
        <f>Operaciones!O5</f>
        <v>0</v>
      </c>
      <c r="L10" s="181">
        <f>Operaciones!O6</f>
        <v>0</v>
      </c>
      <c r="M10" s="181">
        <f>Operaciones!O7</f>
        <v>0</v>
      </c>
      <c r="N10" s="181">
        <f t="shared" ref="N10" si="1">SUM(J10:M10)</f>
        <v>53.689699999999995</v>
      </c>
    </row>
    <row r="11" spans="1:16" x14ac:dyDescent="0.2">
      <c r="B11" s="6" t="s">
        <v>68</v>
      </c>
      <c r="C11" s="185">
        <f>(C8+C10+J16)-J11</f>
        <v>6293.3895879999991</v>
      </c>
      <c r="D11" s="185">
        <f>(D8+D10+K16)-K11</f>
        <v>0</v>
      </c>
      <c r="E11" s="185">
        <f>(E8+E10+L16)-L11</f>
        <v>0</v>
      </c>
      <c r="F11" s="185">
        <f>(F8+F10+M16)-M11</f>
        <v>0</v>
      </c>
      <c r="G11" s="181">
        <f>C11+D11+E11+F11</f>
        <v>6293.3895879999991</v>
      </c>
      <c r="I11" s="6" t="s">
        <v>114</v>
      </c>
      <c r="J11" s="181">
        <f>Comisiones!I8</f>
        <v>0</v>
      </c>
      <c r="K11" s="181"/>
      <c r="L11" s="181"/>
      <c r="M11" s="181"/>
      <c r="N11" s="181">
        <f>SUM(J11:M11)</f>
        <v>0</v>
      </c>
    </row>
    <row r="12" spans="1:16" x14ac:dyDescent="0.2">
      <c r="B12" s="122" t="s">
        <v>112</v>
      </c>
      <c r="C12" s="186">
        <f>C11-C9</f>
        <v>125.71598799999902</v>
      </c>
      <c r="D12" s="186">
        <f t="shared" ref="D12:F12" si="2">D11-D9</f>
        <v>0</v>
      </c>
      <c r="E12" s="186">
        <f t="shared" si="2"/>
        <v>0</v>
      </c>
      <c r="F12" s="186">
        <f t="shared" si="2"/>
        <v>0</v>
      </c>
      <c r="G12" s="186">
        <f>G11-G9-N11+N16</f>
        <v>307.96598799999902</v>
      </c>
      <c r="I12" s="125" t="s">
        <v>115</v>
      </c>
      <c r="J12" s="184">
        <f>J8+J10+J11</f>
        <v>115.89401199999999</v>
      </c>
      <c r="K12" s="184">
        <f>K8+K10+K11</f>
        <v>0</v>
      </c>
      <c r="L12" s="184">
        <f>L8+L10+L11</f>
        <v>0</v>
      </c>
      <c r="M12" s="184">
        <f>M8+M10+M11</f>
        <v>0</v>
      </c>
      <c r="N12" s="184">
        <f>N8+N10+N11</f>
        <v>115.89401199999999</v>
      </c>
    </row>
    <row r="14" spans="1:16" s="34" customFormat="1" x14ac:dyDescent="0.2">
      <c r="B14" s="32"/>
      <c r="C14" s="32" t="s">
        <v>64</v>
      </c>
      <c r="D14" s="32" t="s">
        <v>66</v>
      </c>
      <c r="E14" s="33"/>
      <c r="F14" s="33"/>
      <c r="G14" s="33"/>
      <c r="H14" s="38"/>
      <c r="I14" s="121" t="s">
        <v>133</v>
      </c>
      <c r="J14" s="181">
        <f>Dividendos!C5</f>
        <v>225</v>
      </c>
      <c r="K14" s="181">
        <f>Dividendos!F5</f>
        <v>0</v>
      </c>
      <c r="L14" s="181">
        <f>Dividendos!I5</f>
        <v>0</v>
      </c>
      <c r="M14" s="181">
        <f>Dividendos!L5</f>
        <v>0</v>
      </c>
      <c r="N14" s="181">
        <f>SUM(J14:M14)</f>
        <v>225</v>
      </c>
    </row>
    <row r="15" spans="1:16" s="1" customFormat="1" x14ac:dyDescent="0.2">
      <c r="A15" s="11"/>
      <c r="B15" s="6" t="s">
        <v>9</v>
      </c>
      <c r="C15" s="6" t="s">
        <v>41</v>
      </c>
      <c r="D15" s="6" t="s">
        <v>44</v>
      </c>
      <c r="E15" s="6" t="s">
        <v>31</v>
      </c>
      <c r="F15" s="6" t="s">
        <v>99</v>
      </c>
      <c r="G15" s="6" t="s">
        <v>63</v>
      </c>
      <c r="H15" s="34"/>
      <c r="I15" s="121" t="s">
        <v>134</v>
      </c>
      <c r="J15" s="181">
        <f>Dividendos!D5</f>
        <v>42.75</v>
      </c>
      <c r="K15" s="181">
        <f>Dividendos!G5</f>
        <v>0</v>
      </c>
      <c r="L15" s="181">
        <f>Dividendos!J5</f>
        <v>0</v>
      </c>
      <c r="M15" s="181">
        <f>Dividendos!M5</f>
        <v>0</v>
      </c>
      <c r="N15" s="181">
        <f>SUM(J15:M15)</f>
        <v>42.75</v>
      </c>
    </row>
    <row r="16" spans="1:16" s="34" customFormat="1" x14ac:dyDescent="0.2">
      <c r="A16" s="38"/>
      <c r="B16" s="7" t="s">
        <v>26</v>
      </c>
      <c r="C16" s="12">
        <f>Operaciones!D4</f>
        <v>6167.6736000000001</v>
      </c>
      <c r="D16" s="12">
        <f>Operaciones!C14</f>
        <v>0</v>
      </c>
      <c r="E16" s="143">
        <f>Operaciones!G4</f>
        <v>1450</v>
      </c>
      <c r="F16" s="154">
        <f>Operaciones!S4</f>
        <v>1</v>
      </c>
      <c r="G16" s="154">
        <f>Operaciones!T14</f>
        <v>0</v>
      </c>
      <c r="H16" s="1"/>
      <c r="I16" s="166" t="s">
        <v>152</v>
      </c>
      <c r="J16" s="178">
        <f>J14-J15</f>
        <v>182.25</v>
      </c>
      <c r="K16" s="178">
        <f t="shared" ref="K16:N16" si="3">K14-K15</f>
        <v>0</v>
      </c>
      <c r="L16" s="178">
        <f t="shared" si="3"/>
        <v>0</v>
      </c>
      <c r="M16" s="178">
        <f t="shared" si="3"/>
        <v>0</v>
      </c>
      <c r="N16" s="178">
        <f t="shared" si="3"/>
        <v>182.25</v>
      </c>
    </row>
    <row r="17" spans="1:14" s="34" customFormat="1" x14ac:dyDescent="0.2">
      <c r="A17" s="38"/>
      <c r="B17" s="8" t="s">
        <v>28</v>
      </c>
      <c r="C17" s="12">
        <f>Operaciones!D5</f>
        <v>0</v>
      </c>
      <c r="D17" s="12">
        <f>Operaciones!C20</f>
        <v>0</v>
      </c>
      <c r="E17" s="143">
        <f>Operaciones!G5</f>
        <v>0</v>
      </c>
      <c r="F17" s="154">
        <f>Operaciones!S5</f>
        <v>0</v>
      </c>
      <c r="G17" s="154">
        <f>Operaciones!T20</f>
        <v>0</v>
      </c>
    </row>
    <row r="18" spans="1:14" s="34" customFormat="1" x14ac:dyDescent="0.2">
      <c r="A18" s="38"/>
      <c r="B18" s="9" t="s">
        <v>40</v>
      </c>
      <c r="C18" s="12">
        <f>Operaciones!D6</f>
        <v>0</v>
      </c>
      <c r="D18" s="12">
        <f>Operaciones!C26</f>
        <v>0</v>
      </c>
      <c r="E18" s="143">
        <f>Operaciones!G6</f>
        <v>0</v>
      </c>
      <c r="F18" s="154">
        <f>Operaciones!S6</f>
        <v>0</v>
      </c>
      <c r="G18" s="154">
        <f>Operaciones!T26</f>
        <v>0</v>
      </c>
    </row>
    <row r="19" spans="1:14" s="34" customFormat="1" x14ac:dyDescent="0.2">
      <c r="A19" s="38"/>
      <c r="B19" s="26" t="s">
        <v>48</v>
      </c>
      <c r="C19" s="12">
        <f>Operaciones!D7</f>
        <v>0</v>
      </c>
      <c r="D19" s="12">
        <f>Operaciones!C32</f>
        <v>0</v>
      </c>
      <c r="E19" s="143">
        <f>Operaciones!G7</f>
        <v>0</v>
      </c>
      <c r="F19" s="154">
        <f>Operaciones!S7</f>
        <v>0</v>
      </c>
      <c r="G19" s="154">
        <f>Operaciones!T32</f>
        <v>0</v>
      </c>
    </row>
    <row r="20" spans="1:14" s="1" customFormat="1" x14ac:dyDescent="0.2">
      <c r="A20" s="11"/>
      <c r="B20" s="10" t="s">
        <v>42</v>
      </c>
      <c r="C20" s="17">
        <f>SUM(C16:C18)</f>
        <v>6167.6736000000001</v>
      </c>
      <c r="D20" s="17">
        <f>SUM(D16:D18)</f>
        <v>0</v>
      </c>
      <c r="E20" s="149">
        <f>SUM(E16:E18)</f>
        <v>1450</v>
      </c>
      <c r="F20" s="153">
        <f>SUM(F16:F18)</f>
        <v>1</v>
      </c>
      <c r="G20" s="153">
        <f>SUM(G16:G18)</f>
        <v>0</v>
      </c>
      <c r="H20" s="34"/>
      <c r="I20" s="34"/>
      <c r="J20" s="34"/>
      <c r="K20" s="34"/>
      <c r="L20" s="34"/>
      <c r="M20" s="34"/>
      <c r="N20" s="34"/>
    </row>
    <row r="21" spans="1:14" x14ac:dyDescent="0.2">
      <c r="H21" s="1"/>
      <c r="I21" s="34"/>
      <c r="J21" s="34"/>
      <c r="K21" s="34"/>
      <c r="L21" s="34"/>
      <c r="M21" s="34"/>
      <c r="N21" s="34"/>
    </row>
    <row r="22" spans="1:14" s="34" customFormat="1" x14ac:dyDescent="0.2">
      <c r="B22" s="8"/>
      <c r="C22" s="8" t="s">
        <v>64</v>
      </c>
      <c r="D22" s="8" t="s">
        <v>65</v>
      </c>
      <c r="E22" s="187"/>
      <c r="F22" s="187"/>
      <c r="G22" s="187"/>
      <c r="H22" s="187"/>
      <c r="I22" s="187"/>
      <c r="J22" s="187"/>
      <c r="K22" s="187"/>
      <c r="L22" s="187"/>
      <c r="M22" s="1"/>
      <c r="N22" s="1"/>
    </row>
    <row r="23" spans="1:14" s="1" customFormat="1" x14ac:dyDescent="0.2">
      <c r="A23" s="11"/>
      <c r="B23" s="6" t="s">
        <v>9</v>
      </c>
      <c r="C23" s="6" t="s">
        <v>46</v>
      </c>
      <c r="D23" s="6" t="s">
        <v>138</v>
      </c>
      <c r="E23" s="6" t="s">
        <v>34</v>
      </c>
      <c r="F23" s="6" t="s">
        <v>35</v>
      </c>
      <c r="G23" s="6" t="s">
        <v>33</v>
      </c>
      <c r="H23" s="6" t="s">
        <v>36</v>
      </c>
      <c r="I23" s="6" t="s">
        <v>43</v>
      </c>
      <c r="J23" s="6" t="s">
        <v>45</v>
      </c>
      <c r="K23" s="6" t="s">
        <v>29</v>
      </c>
      <c r="L23" s="6" t="s">
        <v>30</v>
      </c>
      <c r="M23" s="38"/>
      <c r="N23" s="38"/>
    </row>
    <row r="24" spans="1:14" s="34" customFormat="1" x14ac:dyDescent="0.2">
      <c r="A24" s="38"/>
      <c r="B24" s="7" t="s">
        <v>26</v>
      </c>
      <c r="C24" s="183">
        <f>Operaciones!F4</f>
        <v>21833.829807999999</v>
      </c>
      <c r="D24" s="143">
        <f>Operaciones!H4</f>
        <v>5530</v>
      </c>
      <c r="E24" s="183">
        <f>Operaciones!I4</f>
        <v>3.968</v>
      </c>
      <c r="F24" s="183">
        <f>Operaciones!J4</f>
        <v>4.1760000000000002</v>
      </c>
      <c r="G24" s="183">
        <f>Operaciones!K4</f>
        <v>1.0399999999999991</v>
      </c>
      <c r="H24" s="183">
        <f>Operaciones!L4</f>
        <v>1207.3599999999988</v>
      </c>
      <c r="I24" s="183">
        <f>Operaciones!P4</f>
        <v>1111.1395879999991</v>
      </c>
      <c r="J24" s="188">
        <f>Operaciones!Q4</f>
        <v>5.3619466208475672E-2</v>
      </c>
      <c r="K24" s="154">
        <f>Operaciones!R4</f>
        <v>6</v>
      </c>
      <c r="L24" s="189">
        <f>Operaciones!T4</f>
        <v>5</v>
      </c>
    </row>
    <row r="25" spans="1:14" s="34" customFormat="1" x14ac:dyDescent="0.2">
      <c r="A25" s="38"/>
      <c r="B25" s="8" t="s">
        <v>28</v>
      </c>
      <c r="C25" s="183">
        <f>Operaciones!F5</f>
        <v>0</v>
      </c>
      <c r="D25" s="143">
        <f>Operaciones!H5</f>
        <v>0</v>
      </c>
      <c r="E25" s="183" t="e">
        <f>Operaciones!I5</f>
        <v>#DIV/0!</v>
      </c>
      <c r="F25" s="183" t="e">
        <f>Operaciones!J5</f>
        <v>#DIV/0!</v>
      </c>
      <c r="G25" s="183">
        <f>Operaciones!K5</f>
        <v>0</v>
      </c>
      <c r="H25" s="183">
        <f>Operaciones!L5</f>
        <v>0</v>
      </c>
      <c r="I25" s="183">
        <f>Operaciones!P5</f>
        <v>0</v>
      </c>
      <c r="J25" s="188" t="e">
        <f>Operaciones!Q5</f>
        <v>#DIV/0!</v>
      </c>
      <c r="K25" s="154">
        <f>Operaciones!R5</f>
        <v>0</v>
      </c>
      <c r="L25" s="189">
        <f>Operaciones!T5</f>
        <v>0</v>
      </c>
      <c r="M25" s="1"/>
      <c r="N25" s="1"/>
    </row>
    <row r="26" spans="1:14" s="34" customFormat="1" x14ac:dyDescent="0.2">
      <c r="A26" s="38"/>
      <c r="B26" s="9" t="s">
        <v>40</v>
      </c>
      <c r="C26" s="183">
        <f>Operaciones!F6</f>
        <v>0</v>
      </c>
      <c r="D26" s="143">
        <f>Operaciones!H6</f>
        <v>0</v>
      </c>
      <c r="E26" s="183" t="e">
        <f>Operaciones!I6</f>
        <v>#DIV/0!</v>
      </c>
      <c r="F26" s="183" t="e">
        <f>Operaciones!J6</f>
        <v>#DIV/0!</v>
      </c>
      <c r="G26" s="183">
        <f>Operaciones!K6</f>
        <v>0</v>
      </c>
      <c r="H26" s="183">
        <f>Operaciones!L6</f>
        <v>0</v>
      </c>
      <c r="I26" s="183">
        <f>Operaciones!P6</f>
        <v>0</v>
      </c>
      <c r="J26" s="188" t="e">
        <f>Operaciones!Q6</f>
        <v>#DIV/0!</v>
      </c>
      <c r="K26" s="154">
        <f>Operaciones!R6</f>
        <v>0</v>
      </c>
      <c r="L26" s="189">
        <f>Operaciones!T6</f>
        <v>0</v>
      </c>
    </row>
    <row r="27" spans="1:14" s="34" customFormat="1" x14ac:dyDescent="0.2">
      <c r="A27" s="38"/>
      <c r="B27" s="26" t="s">
        <v>48</v>
      </c>
      <c r="C27" s="183">
        <f>Operaciones!F7</f>
        <v>0</v>
      </c>
      <c r="D27" s="143">
        <f>Operaciones!H7</f>
        <v>0</v>
      </c>
      <c r="E27" s="183" t="e">
        <f>Operaciones!I7</f>
        <v>#DIV/0!</v>
      </c>
      <c r="F27" s="183" t="e">
        <f>Operaciones!J7</f>
        <v>#DIV/0!</v>
      </c>
      <c r="G27" s="183">
        <f>Operaciones!K7</f>
        <v>0</v>
      </c>
      <c r="H27" s="183">
        <f>Operaciones!L7</f>
        <v>0</v>
      </c>
      <c r="I27" s="183">
        <f>Operaciones!P7</f>
        <v>0</v>
      </c>
      <c r="J27" s="188" t="e">
        <f>Operaciones!Q7</f>
        <v>#DIV/0!</v>
      </c>
      <c r="K27" s="154">
        <f>Operaciones!R7</f>
        <v>0</v>
      </c>
      <c r="L27" s="189">
        <f>Operaciones!T7</f>
        <v>0</v>
      </c>
    </row>
    <row r="28" spans="1:14" s="1" customFormat="1" x14ac:dyDescent="0.2">
      <c r="A28" s="11"/>
      <c r="B28" s="10" t="s">
        <v>42</v>
      </c>
      <c r="C28" s="17">
        <f>SUM(C24:C27)</f>
        <v>21833.829807999999</v>
      </c>
      <c r="D28" s="149">
        <f>SUM(D24:D27)</f>
        <v>5530</v>
      </c>
      <c r="E28" s="17" t="e">
        <f>AVERAGE(E24:E27)</f>
        <v>#DIV/0!</v>
      </c>
      <c r="F28" s="17" t="e">
        <f>AVERAGE(F24:F27)</f>
        <v>#DIV/0!</v>
      </c>
      <c r="G28" s="23">
        <f>SUM(G24:G27)</f>
        <v>1.0399999999999991</v>
      </c>
      <c r="H28" s="23">
        <f>SUM(H24:H27)</f>
        <v>1207.3599999999988</v>
      </c>
      <c r="I28" s="17">
        <f>SUM(I24:I27)</f>
        <v>1111.1395879999991</v>
      </c>
      <c r="J28" s="50">
        <f>I28/C28</f>
        <v>5.0890732307204908E-2</v>
      </c>
      <c r="K28" s="153">
        <f>SUM(K24:K26)</f>
        <v>6</v>
      </c>
      <c r="L28" s="153">
        <f>SUM(L24:L26)</f>
        <v>5</v>
      </c>
      <c r="M28" s="34"/>
      <c r="N28" s="34"/>
    </row>
    <row r="29" spans="1:14" x14ac:dyDescent="0.2">
      <c r="M29" s="34"/>
      <c r="N29" s="34"/>
    </row>
    <row r="30" spans="1:14" x14ac:dyDescent="0.2">
      <c r="B30" s="6" t="s">
        <v>75</v>
      </c>
      <c r="C30" s="6" t="s">
        <v>151</v>
      </c>
      <c r="D30" s="6" t="s">
        <v>147</v>
      </c>
      <c r="E30" s="6" t="s">
        <v>146</v>
      </c>
      <c r="F30" s="6" t="s">
        <v>45</v>
      </c>
      <c r="G30" s="6" t="s">
        <v>76</v>
      </c>
      <c r="H30" s="32" t="s">
        <v>172</v>
      </c>
      <c r="I30" s="245" t="s">
        <v>140</v>
      </c>
      <c r="J30" s="245"/>
      <c r="K30" s="6" t="s">
        <v>36</v>
      </c>
      <c r="L30" s="240" t="s">
        <v>111</v>
      </c>
      <c r="M30" s="241" t="s">
        <v>150</v>
      </c>
      <c r="N30" s="45" t="s">
        <v>144</v>
      </c>
    </row>
    <row r="31" spans="1:14" x14ac:dyDescent="0.2">
      <c r="B31" s="34">
        <v>2026</v>
      </c>
      <c r="C31" s="181">
        <f>'2026'!C3</f>
        <v>5639.259</v>
      </c>
      <c r="D31" s="181">
        <f>'2026'!D3</f>
        <v>5831.7150000000001</v>
      </c>
      <c r="E31" s="181">
        <f>'2026'!E3</f>
        <v>192.45600000000002</v>
      </c>
      <c r="F31" s="36">
        <f>'2026'!F3</f>
        <v>3.4127888078912497E-2</v>
      </c>
      <c r="G31" s="37">
        <f>'2026'!G3</f>
        <v>1</v>
      </c>
      <c r="H31" s="239">
        <f>E31</f>
        <v>192.45600000000002</v>
      </c>
      <c r="I31" s="181">
        <f>E31*0.25</f>
        <v>48.114000000000004</v>
      </c>
      <c r="J31" s="34" t="str">
        <f>"25%"</f>
        <v>25%</v>
      </c>
      <c r="K31" s="181">
        <f>E31-I31</f>
        <v>144.34200000000001</v>
      </c>
      <c r="L31" s="181">
        <f>'2026'!K3</f>
        <v>0</v>
      </c>
      <c r="M31" s="181">
        <f>'2026'!L3</f>
        <v>0</v>
      </c>
      <c r="N31" s="198">
        <f>K31+L31-M31</f>
        <v>144.34200000000001</v>
      </c>
    </row>
    <row r="32" spans="1:14" x14ac:dyDescent="0.2">
      <c r="B32" s="34">
        <v>2025</v>
      </c>
      <c r="C32" s="181">
        <f>'2025'!C3</f>
        <v>15083.431219999999</v>
      </c>
      <c r="D32" s="181">
        <f>'2025'!D3</f>
        <v>16002.114808</v>
      </c>
      <c r="E32" s="181">
        <f>'2025'!E3</f>
        <v>918.68358799999896</v>
      </c>
      <c r="F32" s="36">
        <f>'2025'!F3</f>
        <v>6.0906803936087363E-2</v>
      </c>
      <c r="G32" s="37">
        <f>'2025'!G3</f>
        <v>4</v>
      </c>
      <c r="H32" s="239">
        <f>E32</f>
        <v>918.68358799999896</v>
      </c>
      <c r="I32" s="181">
        <f>E32*0.25</f>
        <v>229.67089699999974</v>
      </c>
      <c r="J32" s="34" t="str">
        <f>"25%"</f>
        <v>25%</v>
      </c>
      <c r="K32" s="181">
        <f>E32-I32</f>
        <v>689.01269099999922</v>
      </c>
      <c r="L32" s="181">
        <f>'2025'!K3</f>
        <v>182.25</v>
      </c>
      <c r="M32" s="181">
        <f>'2025'!L3</f>
        <v>0</v>
      </c>
      <c r="N32" s="198">
        <f>K32+L32-M32</f>
        <v>871.26269099999922</v>
      </c>
    </row>
    <row r="33" spans="2:10" x14ac:dyDescent="0.2">
      <c r="B33" s="41"/>
      <c r="C33" s="42"/>
      <c r="D33" s="39"/>
    </row>
    <row r="34" spans="2:10" x14ac:dyDescent="0.2">
      <c r="B34" s="41"/>
      <c r="C34" s="42"/>
      <c r="D34" s="39"/>
    </row>
    <row r="39" spans="2:10" x14ac:dyDescent="0.2">
      <c r="B39" s="41"/>
      <c r="C39" s="42"/>
      <c r="D39" s="39"/>
    </row>
    <row r="40" spans="2:10" x14ac:dyDescent="0.2">
      <c r="B40" s="41"/>
      <c r="C40" s="42"/>
      <c r="D40" s="39"/>
    </row>
    <row r="41" spans="2:10" x14ac:dyDescent="0.2">
      <c r="B41" s="41"/>
      <c r="C41" s="42"/>
      <c r="D41" s="39"/>
    </row>
    <row r="45" spans="2:10" x14ac:dyDescent="0.2">
      <c r="H45" s="41"/>
      <c r="I45" s="42"/>
      <c r="J45" s="39"/>
    </row>
    <row r="46" spans="2:10" x14ac:dyDescent="0.2">
      <c r="H46" s="39"/>
      <c r="I46" s="39"/>
      <c r="J46" s="39"/>
    </row>
    <row r="47" spans="2:10" x14ac:dyDescent="0.2">
      <c r="H47" s="39"/>
      <c r="I47" s="39"/>
      <c r="J47" s="39"/>
    </row>
    <row r="48" spans="2:10" x14ac:dyDescent="0.2">
      <c r="H48" s="39"/>
      <c r="I48" s="39"/>
      <c r="J48" s="39"/>
    </row>
    <row r="49" spans="8:10" x14ac:dyDescent="0.2">
      <c r="H49" s="41"/>
      <c r="I49" s="42"/>
      <c r="J49" s="39"/>
    </row>
    <row r="50" spans="8:10" x14ac:dyDescent="0.2">
      <c r="H50" s="39"/>
      <c r="I50" s="42"/>
      <c r="J50" s="39"/>
    </row>
    <row r="51" spans="8:10" x14ac:dyDescent="0.2">
      <c r="H51" s="39"/>
      <c r="I51" s="42"/>
      <c r="J51" s="39"/>
    </row>
    <row r="52" spans="8:10" x14ac:dyDescent="0.2">
      <c r="H52" s="39"/>
      <c r="J52" s="39"/>
    </row>
    <row r="53" spans="8:10" x14ac:dyDescent="0.2">
      <c r="H53" s="40"/>
      <c r="I53" s="42"/>
      <c r="J53" s="39"/>
    </row>
    <row r="54" spans="8:10" x14ac:dyDescent="0.2">
      <c r="H54" s="41"/>
      <c r="I54" s="42"/>
      <c r="J54" s="39"/>
    </row>
    <row r="55" spans="8:10" x14ac:dyDescent="0.2">
      <c r="H55" s="41"/>
      <c r="I55" s="42"/>
      <c r="J55" s="39"/>
    </row>
  </sheetData>
  <mergeCells count="1">
    <mergeCell ref="I30:J30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E5CB-1407-451D-A45B-B1CC9DDC5BB8}">
  <dimension ref="A2:AE66"/>
  <sheetViews>
    <sheetView zoomScaleNormal="100" workbookViewId="0">
      <pane ySplit="8" topLeftCell="A15" activePane="bottomLeft" state="frozen"/>
      <selection pane="bottomLeft" activeCell="E10" sqref="E10"/>
    </sheetView>
  </sheetViews>
  <sheetFormatPr baseColWidth="10" defaultColWidth="3.7109375" defaultRowHeight="12.75" x14ac:dyDescent="0.2"/>
  <cols>
    <col min="1" max="1" width="3.7109375" style="25"/>
    <col min="2" max="2" width="6.42578125" style="28" bestFit="1" customWidth="1"/>
    <col min="3" max="3" width="16.28515625" style="25" bestFit="1" customWidth="1"/>
    <col min="4" max="4" width="10.7109375" style="25" bestFit="1" customWidth="1"/>
    <col min="5" max="5" width="13.28515625" style="27" bestFit="1" customWidth="1"/>
    <col min="6" max="6" width="10.28515625" style="30" bestFit="1" customWidth="1"/>
    <col min="7" max="7" width="9.28515625" style="28" bestFit="1" customWidth="1"/>
    <col min="8" max="8" width="10.28515625" style="31" bestFit="1" customWidth="1"/>
    <col min="9" max="9" width="11.28515625" style="31" bestFit="1" customWidth="1"/>
    <col min="10" max="10" width="10.7109375" style="27" bestFit="1" customWidth="1"/>
    <col min="11" max="11" width="10" style="27" bestFit="1" customWidth="1"/>
    <col min="12" max="12" width="10.5703125" style="27" bestFit="1" customWidth="1"/>
    <col min="13" max="13" width="10.28515625" style="27" bestFit="1" customWidth="1"/>
    <col min="14" max="14" width="10.85546875" style="27" bestFit="1" customWidth="1"/>
    <col min="15" max="15" width="11.7109375" style="25" bestFit="1" customWidth="1"/>
    <col min="16" max="16" width="9.28515625" style="27" bestFit="1" customWidth="1"/>
    <col min="17" max="17" width="9.85546875" style="25" bestFit="1" customWidth="1"/>
    <col min="18" max="19" width="10.140625" style="25" bestFit="1" customWidth="1"/>
    <col min="20" max="20" width="10.5703125" style="25" bestFit="1" customWidth="1"/>
    <col min="21" max="16384" width="3.7109375" style="25"/>
  </cols>
  <sheetData>
    <row r="2" spans="1:27" x14ac:dyDescent="0.2">
      <c r="B2" s="32"/>
      <c r="C2" s="32" t="s">
        <v>64</v>
      </c>
      <c r="D2" s="32"/>
      <c r="E2" s="190" t="s">
        <v>110</v>
      </c>
      <c r="F2" s="7" t="s">
        <v>26</v>
      </c>
      <c r="G2" s="120">
        <f>General!C12</f>
        <v>125.71598799999902</v>
      </c>
      <c r="H2" s="8" t="s">
        <v>28</v>
      </c>
      <c r="I2" s="120">
        <f>General!D12</f>
        <v>0</v>
      </c>
      <c r="J2" s="9" t="s">
        <v>40</v>
      </c>
      <c r="K2" s="120">
        <f>General!E12</f>
        <v>0</v>
      </c>
      <c r="L2" s="26" t="s">
        <v>48</v>
      </c>
      <c r="M2" s="120">
        <f>General!F12</f>
        <v>0</v>
      </c>
      <c r="N2" s="47"/>
      <c r="O2" s="47"/>
      <c r="P2" s="47"/>
      <c r="Q2" s="33"/>
      <c r="R2" s="33"/>
      <c r="S2" s="33"/>
      <c r="T2" s="33"/>
    </row>
    <row r="3" spans="1:27" s="1" customFormat="1" x14ac:dyDescent="0.2">
      <c r="A3" s="11"/>
      <c r="B3" s="6" t="s">
        <v>9</v>
      </c>
      <c r="C3" s="6" t="s">
        <v>129</v>
      </c>
      <c r="D3" s="6" t="s">
        <v>130</v>
      </c>
      <c r="E3" s="6" t="s">
        <v>125</v>
      </c>
      <c r="F3" s="6" t="s">
        <v>71</v>
      </c>
      <c r="G3" s="6" t="s">
        <v>131</v>
      </c>
      <c r="H3" s="6" t="s">
        <v>101</v>
      </c>
      <c r="I3" s="6" t="s">
        <v>93</v>
      </c>
      <c r="J3" s="6" t="s">
        <v>92</v>
      </c>
      <c r="K3" s="6" t="s">
        <v>33</v>
      </c>
      <c r="L3" s="4" t="s">
        <v>102</v>
      </c>
      <c r="M3" s="6" t="s">
        <v>94</v>
      </c>
      <c r="N3" s="6" t="s">
        <v>67</v>
      </c>
      <c r="O3" s="6" t="s">
        <v>89</v>
      </c>
      <c r="P3" s="6" t="s">
        <v>11</v>
      </c>
      <c r="Q3" s="6" t="s">
        <v>45</v>
      </c>
      <c r="R3" s="6" t="s">
        <v>29</v>
      </c>
      <c r="S3" s="6" t="s">
        <v>100</v>
      </c>
      <c r="T3" s="6" t="s">
        <v>30</v>
      </c>
    </row>
    <row r="4" spans="1:27" x14ac:dyDescent="0.2">
      <c r="A4" s="24"/>
      <c r="B4" s="7" t="s">
        <v>26</v>
      </c>
      <c r="C4" s="29">
        <f>SUMIF(T10:T12,"Abierta",H10:H12)</f>
        <v>6148</v>
      </c>
      <c r="D4" s="12">
        <f>(SUMIF(T10:T12,"abierta",H10:H12))+(SUMIF(T10:T12,"Abierta",N10:N12))+(SUMIF(T10:T12,"Abierta",P10:P12))</f>
        <v>6167.6736000000001</v>
      </c>
      <c r="E4" s="27">
        <f>E46</f>
        <v>20722.690219999997</v>
      </c>
      <c r="F4" s="29">
        <f>I46</f>
        <v>21833.829807999999</v>
      </c>
      <c r="G4" s="144">
        <f>F14</f>
        <v>1450</v>
      </c>
      <c r="H4" s="144">
        <f>F46</f>
        <v>5530</v>
      </c>
      <c r="I4" s="106">
        <f>G46</f>
        <v>3.968</v>
      </c>
      <c r="J4" s="106">
        <f>J46</f>
        <v>4.1760000000000002</v>
      </c>
      <c r="K4" s="106">
        <f>K46</f>
        <v>1.0399999999999991</v>
      </c>
      <c r="L4" s="27">
        <f>M46</f>
        <v>1207.3599999999988</v>
      </c>
      <c r="M4" s="29">
        <f>N14+N46</f>
        <v>32.217819999999996</v>
      </c>
      <c r="N4" s="29">
        <f>O46</f>
        <v>29.986491999999998</v>
      </c>
      <c r="O4" s="27">
        <f>P14+P46</f>
        <v>53.689699999999995</v>
      </c>
      <c r="P4" s="29">
        <f>Q46</f>
        <v>1111.1395879999991</v>
      </c>
      <c r="Q4" s="52">
        <f>P4/E4</f>
        <v>5.3619466208475672E-2</v>
      </c>
      <c r="R4" s="156">
        <f>S14+D46</f>
        <v>6</v>
      </c>
      <c r="S4" s="156">
        <f>R4-T4</f>
        <v>1</v>
      </c>
      <c r="T4" s="156">
        <f>D46</f>
        <v>5</v>
      </c>
    </row>
    <row r="5" spans="1:27" x14ac:dyDescent="0.2">
      <c r="A5" s="24"/>
      <c r="B5" s="8" t="s">
        <v>28</v>
      </c>
      <c r="C5" s="29">
        <f>SUMIF(T16:T18,"Abierta",H16:H18)</f>
        <v>0</v>
      </c>
      <c r="D5" s="12">
        <f>(SUMIF(T16:T18,"abierta",H16:H18))+(SUMIF(T16:T18,"Abierta",N16:N18))+(SUMIF(T16:T18,"Abierta",P16:P18))</f>
        <v>0</v>
      </c>
      <c r="E5" s="27">
        <f>E52</f>
        <v>0</v>
      </c>
      <c r="F5" s="29">
        <f>I52</f>
        <v>0</v>
      </c>
      <c r="G5" s="144">
        <f>F20</f>
        <v>0</v>
      </c>
      <c r="H5" s="144">
        <f>F52</f>
        <v>0</v>
      </c>
      <c r="I5" s="106" t="e">
        <f>G52</f>
        <v>#DIV/0!</v>
      </c>
      <c r="J5" s="106" t="e">
        <f>J52</f>
        <v>#DIV/0!</v>
      </c>
      <c r="K5" s="106">
        <f>K52</f>
        <v>0</v>
      </c>
      <c r="L5" s="27">
        <f>M52</f>
        <v>0</v>
      </c>
      <c r="M5" s="29">
        <f>N20+N52</f>
        <v>0</v>
      </c>
      <c r="N5" s="29">
        <f>O52</f>
        <v>0</v>
      </c>
      <c r="O5" s="27">
        <f>P20+P52</f>
        <v>0</v>
      </c>
      <c r="P5" s="29">
        <f>Q52</f>
        <v>0</v>
      </c>
      <c r="Q5" s="52" t="e">
        <f>P5/E5</f>
        <v>#DIV/0!</v>
      </c>
      <c r="R5" s="156">
        <f>S20+D52</f>
        <v>0</v>
      </c>
      <c r="S5" s="156">
        <f t="shared" ref="S5:S7" si="0">R5-T5</f>
        <v>0</v>
      </c>
      <c r="T5" s="156">
        <f>D52</f>
        <v>0</v>
      </c>
    </row>
    <row r="6" spans="1:27" x14ac:dyDescent="0.2">
      <c r="A6" s="24"/>
      <c r="B6" s="9" t="s">
        <v>40</v>
      </c>
      <c r="C6" s="29">
        <f>SUMIF(T22:T24,"Abierta",H22:H24)</f>
        <v>0</v>
      </c>
      <c r="D6" s="12">
        <f>(SUMIF(T22:T24,"abierta",H22:H24))+(SUMIF(T22:T24,"Abierta",N22:N24))+(SUMIF(T22:T24,"Abierta",P22:P24))</f>
        <v>0</v>
      </c>
      <c r="E6" s="27">
        <f>E58</f>
        <v>0</v>
      </c>
      <c r="F6" s="29">
        <f>I58</f>
        <v>0</v>
      </c>
      <c r="G6" s="144">
        <f>F26</f>
        <v>0</v>
      </c>
      <c r="H6" s="144">
        <f>F58</f>
        <v>0</v>
      </c>
      <c r="I6" s="106" t="e">
        <f>G58</f>
        <v>#DIV/0!</v>
      </c>
      <c r="J6" s="106" t="e">
        <f>J58</f>
        <v>#DIV/0!</v>
      </c>
      <c r="K6" s="106">
        <f>K58</f>
        <v>0</v>
      </c>
      <c r="L6" s="27">
        <f>M58</f>
        <v>0</v>
      </c>
      <c r="M6" s="29">
        <f>N26+N58</f>
        <v>0</v>
      </c>
      <c r="N6" s="29">
        <f>O58</f>
        <v>0</v>
      </c>
      <c r="O6" s="27">
        <f>P26+P58</f>
        <v>0</v>
      </c>
      <c r="P6" s="29">
        <f>Q58</f>
        <v>0</v>
      </c>
      <c r="Q6" s="52" t="e">
        <f>P6/E6</f>
        <v>#DIV/0!</v>
      </c>
      <c r="R6" s="156">
        <f>D58+S26</f>
        <v>0</v>
      </c>
      <c r="S6" s="156">
        <f t="shared" si="0"/>
        <v>0</v>
      </c>
      <c r="T6" s="156">
        <f>D58</f>
        <v>0</v>
      </c>
    </row>
    <row r="7" spans="1:27" x14ac:dyDescent="0.2">
      <c r="A7" s="24"/>
      <c r="B7" s="26" t="s">
        <v>48</v>
      </c>
      <c r="C7" s="29">
        <f>SUMIF(T28:T30,"Abierta",H28:H30)</f>
        <v>0</v>
      </c>
      <c r="D7" s="12">
        <f>(SUMIF(T28:T30,"abierta",H28:H30))+(SUMIF(T28:T30,"Abierta",N28:N30))+(SUMIF(T28:T30,"Abierta",P28:P30))</f>
        <v>0</v>
      </c>
      <c r="E7" s="27">
        <f>E64</f>
        <v>0</v>
      </c>
      <c r="F7" s="29">
        <f>I64</f>
        <v>0</v>
      </c>
      <c r="G7" s="144">
        <f>F32</f>
        <v>0</v>
      </c>
      <c r="H7" s="144">
        <f>F64</f>
        <v>0</v>
      </c>
      <c r="I7" s="106" t="e">
        <f>G64</f>
        <v>#DIV/0!</v>
      </c>
      <c r="J7" s="106" t="e">
        <f>J64</f>
        <v>#DIV/0!</v>
      </c>
      <c r="K7" s="106">
        <f>K64</f>
        <v>0</v>
      </c>
      <c r="L7" s="27">
        <f>M64</f>
        <v>0</v>
      </c>
      <c r="M7" s="29">
        <f>M32+N64</f>
        <v>0</v>
      </c>
      <c r="N7" s="29">
        <f>O64</f>
        <v>0</v>
      </c>
      <c r="O7" s="27">
        <f>P32+P64</f>
        <v>0</v>
      </c>
      <c r="P7" s="29">
        <f>Q64</f>
        <v>0</v>
      </c>
      <c r="Q7" s="52" t="e">
        <f>P7/E7</f>
        <v>#DIV/0!</v>
      </c>
      <c r="R7" s="156">
        <f>D64+S32</f>
        <v>0</v>
      </c>
      <c r="S7" s="156">
        <f t="shared" si="0"/>
        <v>0</v>
      </c>
      <c r="T7" s="156">
        <f>D64</f>
        <v>0</v>
      </c>
    </row>
    <row r="8" spans="1:27" s="1" customFormat="1" x14ac:dyDescent="0.2">
      <c r="A8" s="11"/>
      <c r="B8" s="10" t="s">
        <v>42</v>
      </c>
      <c r="C8" s="17">
        <f t="shared" ref="C8:H8" si="1">SUM(C4:C7)</f>
        <v>6148</v>
      </c>
      <c r="D8" s="17">
        <f t="shared" si="1"/>
        <v>6167.6736000000001</v>
      </c>
      <c r="E8" s="17">
        <f t="shared" si="1"/>
        <v>20722.690219999997</v>
      </c>
      <c r="F8" s="17">
        <f t="shared" si="1"/>
        <v>21833.829807999999</v>
      </c>
      <c r="G8" s="149">
        <f t="shared" si="1"/>
        <v>1450</v>
      </c>
      <c r="H8" s="150">
        <f t="shared" si="1"/>
        <v>5530</v>
      </c>
      <c r="I8" s="108" t="e">
        <f>AVERAGE(I4:I7)</f>
        <v>#DIV/0!</v>
      </c>
      <c r="J8" s="108" t="e">
        <f>AVERAGE(J4:J7)</f>
        <v>#DIV/0!</v>
      </c>
      <c r="K8" s="107">
        <f>SUM(K4:K7)</f>
        <v>1.0399999999999991</v>
      </c>
      <c r="L8" s="23">
        <f>SUM(L4:L7)</f>
        <v>1207.3599999999988</v>
      </c>
      <c r="M8" s="23">
        <f>SUM(M4:M7)</f>
        <v>32.217819999999996</v>
      </c>
      <c r="N8" s="17">
        <f t="shared" ref="N8:O8" si="2">SUM(N4:N7)</f>
        <v>29.986491999999998</v>
      </c>
      <c r="O8" s="17">
        <f t="shared" si="2"/>
        <v>53.689699999999995</v>
      </c>
      <c r="P8" s="17">
        <f>SUM(P4:P7)</f>
        <v>1111.1395879999991</v>
      </c>
      <c r="Q8" s="53">
        <f>P8/F8</f>
        <v>5.0890732307204908E-2</v>
      </c>
      <c r="R8" s="153">
        <f>SUM(R4:R7)</f>
        <v>6</v>
      </c>
      <c r="S8" s="153">
        <f>SUM(S4:S7)</f>
        <v>1</v>
      </c>
      <c r="T8" s="153">
        <f>SUM(T4:T7)</f>
        <v>5</v>
      </c>
    </row>
    <row r="9" spans="1:27" x14ac:dyDescent="0.2">
      <c r="B9" s="5" t="s">
        <v>9</v>
      </c>
      <c r="C9" s="2" t="s">
        <v>24</v>
      </c>
      <c r="D9" s="2" t="s">
        <v>95</v>
      </c>
      <c r="E9" s="2" t="s">
        <v>7</v>
      </c>
      <c r="F9" s="5" t="s">
        <v>2</v>
      </c>
      <c r="G9" s="3" t="s">
        <v>3</v>
      </c>
      <c r="H9" s="4" t="s">
        <v>122</v>
      </c>
      <c r="I9" s="2" t="s">
        <v>8</v>
      </c>
      <c r="J9" s="3" t="s">
        <v>4</v>
      </c>
      <c r="K9" s="3" t="s">
        <v>5</v>
      </c>
      <c r="L9" s="3" t="s">
        <v>123</v>
      </c>
      <c r="M9" s="4" t="s">
        <v>120</v>
      </c>
      <c r="N9" s="6" t="s">
        <v>103</v>
      </c>
      <c r="O9" s="6" t="s">
        <v>104</v>
      </c>
      <c r="P9" s="6" t="s">
        <v>89</v>
      </c>
      <c r="Q9" s="6" t="s">
        <v>11</v>
      </c>
      <c r="R9" s="6" t="s">
        <v>45</v>
      </c>
      <c r="S9" s="6" t="s">
        <v>73</v>
      </c>
      <c r="T9" s="6" t="s">
        <v>25</v>
      </c>
    </row>
    <row r="10" spans="1:27" x14ac:dyDescent="0.2">
      <c r="B10" s="247" t="s">
        <v>26</v>
      </c>
      <c r="C10" s="13" t="s">
        <v>59</v>
      </c>
      <c r="D10" s="154">
        <v>1</v>
      </c>
      <c r="E10" s="13">
        <v>46119</v>
      </c>
      <c r="F10" s="143">
        <v>1450</v>
      </c>
      <c r="G10" s="18">
        <v>4.24</v>
      </c>
      <c r="H10" s="12">
        <f>G10*F10</f>
        <v>6148</v>
      </c>
      <c r="I10" s="13" t="s">
        <v>174</v>
      </c>
      <c r="J10" s="18">
        <v>4.5</v>
      </c>
      <c r="K10" s="18">
        <f>J10-G10</f>
        <v>0.25999999999999979</v>
      </c>
      <c r="L10" s="12">
        <f>F10*J10</f>
        <v>6525</v>
      </c>
      <c r="M10" s="12">
        <f>F10*K10</f>
        <v>376.99999999999972</v>
      </c>
      <c r="N10" s="12" cm="1">
        <f t="array" ref="N10">_xlfn.IFS(E10="",0,H10&lt;4166.67,5,H10&gt;4166.67,H10*0.12%)</f>
        <v>7.3775999999999993</v>
      </c>
      <c r="O10" s="12" cm="1">
        <f t="array" ref="O10">_xlfn.IFS(I10="",0,L10&lt;4166.67,5,L10&gt;4166.67,L10*0.12%)</f>
        <v>7.8299999999999992</v>
      </c>
      <c r="P10" s="12">
        <f t="shared" ref="P10" si="3">H10*0.002</f>
        <v>12.295999999999999</v>
      </c>
      <c r="Q10" s="12">
        <f t="shared" ref="Q10" si="4">M10-(N10+O10+P10)</f>
        <v>349.49639999999971</v>
      </c>
      <c r="R10" s="46">
        <f>Q10/H10</f>
        <v>5.6847169811320708E-2</v>
      </c>
      <c r="T10" s="25" t="s">
        <v>39</v>
      </c>
      <c r="Z10" s="105"/>
    </row>
    <row r="11" spans="1:27" x14ac:dyDescent="0.2">
      <c r="B11" s="247"/>
      <c r="C11" s="13"/>
      <c r="D11" s="212"/>
      <c r="E11" s="13"/>
      <c r="F11" s="143"/>
      <c r="G11" s="18"/>
      <c r="H11" s="12"/>
      <c r="I11" s="13"/>
      <c r="J11" s="18"/>
      <c r="K11" s="18"/>
      <c r="L11" s="12"/>
      <c r="M11" s="12"/>
      <c r="N11" s="12"/>
      <c r="O11" s="12"/>
      <c r="P11" s="12"/>
      <c r="Q11" s="12"/>
      <c r="R11" s="46"/>
      <c r="W11" s="104"/>
      <c r="X11" s="27"/>
    </row>
    <row r="12" spans="1:27" x14ac:dyDescent="0.2">
      <c r="B12" s="247"/>
      <c r="Q12" s="12"/>
      <c r="W12" s="104"/>
      <c r="X12" s="27"/>
    </row>
    <row r="13" spans="1:27" x14ac:dyDescent="0.2">
      <c r="B13" s="247"/>
      <c r="C13" s="15" t="s">
        <v>137</v>
      </c>
      <c r="D13" s="15" t="s">
        <v>69</v>
      </c>
      <c r="E13" s="132" t="s">
        <v>125</v>
      </c>
      <c r="F13" s="15" t="s">
        <v>31</v>
      </c>
      <c r="G13" s="15" t="s">
        <v>34</v>
      </c>
      <c r="H13" s="15" t="s">
        <v>124</v>
      </c>
      <c r="I13" s="132" t="s">
        <v>113</v>
      </c>
      <c r="J13" s="15" t="s">
        <v>35</v>
      </c>
      <c r="K13" s="15" t="s">
        <v>33</v>
      </c>
      <c r="L13" s="15" t="s">
        <v>121</v>
      </c>
      <c r="M13" s="15" t="s">
        <v>36</v>
      </c>
      <c r="N13" s="15" t="s">
        <v>105</v>
      </c>
      <c r="O13" s="15" t="s">
        <v>106</v>
      </c>
      <c r="P13" s="15" t="s">
        <v>89</v>
      </c>
      <c r="Q13" s="16" t="s">
        <v>32</v>
      </c>
      <c r="R13" s="16" t="s">
        <v>45</v>
      </c>
      <c r="S13" s="15" t="s">
        <v>29</v>
      </c>
      <c r="T13" s="15" t="s">
        <v>128</v>
      </c>
      <c r="AA13" s="27"/>
    </row>
    <row r="14" spans="1:27" x14ac:dyDescent="0.2">
      <c r="B14" s="247"/>
      <c r="C14" s="35">
        <f>SUMIF(T10:T12,"Programada",H10:H12)+(SUMIF(T10:T12,"Programada",N10:N12))</f>
        <v>0</v>
      </c>
      <c r="D14" s="157">
        <f>COUNTA(E10:E12)</f>
        <v>1</v>
      </c>
      <c r="E14" s="131">
        <f>H14+N14</f>
        <v>6155.3775999999998</v>
      </c>
      <c r="F14" s="146">
        <f>SUMIF(T10:T12,"Abierta",F10:F12)</f>
        <v>1450</v>
      </c>
      <c r="G14" s="19">
        <f>AVERAGEIF(T10:T12,"Abierta",G10:G12)</f>
        <v>4.24</v>
      </c>
      <c r="H14" s="20">
        <f>SUM(H10:H12)</f>
        <v>6148</v>
      </c>
      <c r="I14" s="131">
        <f>L14-(O14+P14)</f>
        <v>6504.8739999999998</v>
      </c>
      <c r="J14" s="19">
        <f>AVERAGEIF(T10:T12,"Abierta",J10:J12)</f>
        <v>4.5</v>
      </c>
      <c r="K14" s="20">
        <f>SUM(K10:K12)</f>
        <v>0.25999999999999979</v>
      </c>
      <c r="L14" s="20">
        <f>SUM(L10:L12)</f>
        <v>6525</v>
      </c>
      <c r="M14" s="20">
        <f>SUM(M10:M12)</f>
        <v>376.99999999999972</v>
      </c>
      <c r="N14" s="20">
        <f>SUMIF(T10:T12,"Abierta",N10:N12)</f>
        <v>7.3775999999999993</v>
      </c>
      <c r="O14" s="20">
        <f>SUM(O10:O12)</f>
        <v>7.8299999999999992</v>
      </c>
      <c r="P14" s="20">
        <f>SUMIF(T10:T12,"Abierta",P10:P12)</f>
        <v>12.295999999999999</v>
      </c>
      <c r="Q14" s="20">
        <f>SUM(Q10:Q12)</f>
        <v>349.49639999999971</v>
      </c>
      <c r="R14" s="110">
        <f>Q14/H14</f>
        <v>5.6847169811320708E-2</v>
      </c>
      <c r="S14" s="157">
        <f>COUNTIF(T10:T12,"Abierta")</f>
        <v>1</v>
      </c>
      <c r="T14" s="157">
        <f>COUNTIF(T10:T12,"Programada")</f>
        <v>0</v>
      </c>
      <c r="V14" s="27"/>
      <c r="W14" s="27"/>
    </row>
    <row r="15" spans="1:27" x14ac:dyDescent="0.2">
      <c r="B15" s="5" t="s">
        <v>9</v>
      </c>
      <c r="C15" s="2" t="s">
        <v>24</v>
      </c>
      <c r="D15" s="2" t="s">
        <v>95</v>
      </c>
      <c r="E15" s="2" t="s">
        <v>7</v>
      </c>
      <c r="F15" s="5" t="s">
        <v>2</v>
      </c>
      <c r="G15" s="3" t="s">
        <v>3</v>
      </c>
      <c r="H15" s="4" t="s">
        <v>122</v>
      </c>
      <c r="I15" s="2" t="s">
        <v>8</v>
      </c>
      <c r="J15" s="3" t="s">
        <v>4</v>
      </c>
      <c r="K15" s="3" t="s">
        <v>5</v>
      </c>
      <c r="L15" s="3" t="s">
        <v>123</v>
      </c>
      <c r="M15" s="4" t="s">
        <v>120</v>
      </c>
      <c r="N15" s="6" t="s">
        <v>103</v>
      </c>
      <c r="O15" s="6" t="s">
        <v>104</v>
      </c>
      <c r="P15" s="6" t="s">
        <v>89</v>
      </c>
      <c r="Q15" s="6" t="s">
        <v>11</v>
      </c>
      <c r="R15" s="6" t="s">
        <v>45</v>
      </c>
      <c r="S15" s="6" t="s">
        <v>73</v>
      </c>
      <c r="T15" s="6" t="s">
        <v>25</v>
      </c>
      <c r="W15" s="27"/>
    </row>
    <row r="16" spans="1:27" x14ac:dyDescent="0.2">
      <c r="B16" s="248" t="s">
        <v>28</v>
      </c>
      <c r="C16" s="13"/>
      <c r="D16" s="154"/>
      <c r="E16" s="13"/>
      <c r="F16" s="143"/>
      <c r="G16" s="18"/>
      <c r="H16" s="12"/>
      <c r="I16" s="13"/>
      <c r="J16" s="18"/>
      <c r="K16" s="18"/>
      <c r="L16" s="12"/>
      <c r="M16" s="12"/>
      <c r="N16" s="12"/>
      <c r="O16" s="12"/>
      <c r="P16" s="12"/>
      <c r="Q16" s="12"/>
      <c r="R16" s="46"/>
      <c r="W16" s="104"/>
      <c r="X16" s="27"/>
      <c r="Z16" s="27"/>
    </row>
    <row r="17" spans="2:26" x14ac:dyDescent="0.2">
      <c r="B17" s="248"/>
      <c r="C17" s="13"/>
      <c r="D17" s="154"/>
      <c r="E17" s="13"/>
      <c r="F17" s="143"/>
      <c r="G17" s="18"/>
      <c r="H17" s="12"/>
      <c r="I17" s="13"/>
      <c r="J17" s="18"/>
      <c r="K17" s="18"/>
      <c r="L17" s="12"/>
      <c r="M17" s="12"/>
      <c r="N17" s="12"/>
      <c r="O17" s="12"/>
      <c r="P17" s="12"/>
      <c r="Q17" s="12"/>
      <c r="R17" s="46"/>
      <c r="W17" s="104"/>
      <c r="X17" s="27"/>
      <c r="Z17" s="27"/>
    </row>
    <row r="18" spans="2:26" x14ac:dyDescent="0.2">
      <c r="B18" s="248"/>
      <c r="C18" s="13"/>
      <c r="D18" s="154"/>
      <c r="E18" s="13"/>
      <c r="F18" s="143"/>
      <c r="G18" s="18"/>
      <c r="H18" s="12"/>
      <c r="I18" s="13"/>
      <c r="J18" s="18"/>
      <c r="K18" s="18"/>
      <c r="L18" s="18"/>
      <c r="M18" s="12"/>
      <c r="N18" s="12"/>
      <c r="O18" s="12"/>
      <c r="P18" s="12"/>
      <c r="Q18" s="12"/>
      <c r="R18" s="46"/>
      <c r="W18" s="104"/>
      <c r="Z18" s="27"/>
    </row>
    <row r="19" spans="2:26" x14ac:dyDescent="0.2">
      <c r="B19" s="248"/>
      <c r="C19" s="15" t="s">
        <v>137</v>
      </c>
      <c r="D19" s="15" t="s">
        <v>69</v>
      </c>
      <c r="E19" s="132" t="s">
        <v>125</v>
      </c>
      <c r="F19" s="15" t="s">
        <v>31</v>
      </c>
      <c r="G19" s="15" t="s">
        <v>34</v>
      </c>
      <c r="H19" s="15" t="s">
        <v>124</v>
      </c>
      <c r="I19" s="132" t="s">
        <v>113</v>
      </c>
      <c r="J19" s="15" t="s">
        <v>35</v>
      </c>
      <c r="K19" s="15" t="s">
        <v>33</v>
      </c>
      <c r="L19" s="15" t="s">
        <v>121</v>
      </c>
      <c r="M19" s="15" t="s">
        <v>36</v>
      </c>
      <c r="N19" s="15" t="s">
        <v>105</v>
      </c>
      <c r="O19" s="15" t="s">
        <v>106</v>
      </c>
      <c r="P19" s="15" t="s">
        <v>89</v>
      </c>
      <c r="Q19" s="16" t="s">
        <v>32</v>
      </c>
      <c r="R19" s="16" t="s">
        <v>45</v>
      </c>
      <c r="S19" s="15" t="s">
        <v>29</v>
      </c>
      <c r="T19" s="15" t="s">
        <v>128</v>
      </c>
      <c r="W19" s="105"/>
      <c r="Z19" s="27"/>
    </row>
    <row r="20" spans="2:26" x14ac:dyDescent="0.2">
      <c r="B20" s="248"/>
      <c r="C20" s="22">
        <f>SUMIF(T16:T18,"Programada",H16:H18)+(SUMIF(T16:T18,"Programada",N16:N18))</f>
        <v>0</v>
      </c>
      <c r="D20" s="160">
        <f>COUNTA(E16:E18)</f>
        <v>0</v>
      </c>
      <c r="E20" s="127">
        <f>H20+N20</f>
        <v>0</v>
      </c>
      <c r="F20" s="145">
        <f>SUMIF(T16:T18,"Abierta",F16:F18)</f>
        <v>0</v>
      </c>
      <c r="G20" s="21" t="e">
        <f>AVERAGEIF(T16:T18,"Abierta",G16:G18)</f>
        <v>#DIV/0!</v>
      </c>
      <c r="H20" s="22">
        <f>SUM(F16:F18)</f>
        <v>0</v>
      </c>
      <c r="I20" s="127">
        <f>L20-(O20+P20)</f>
        <v>0</v>
      </c>
      <c r="J20" s="21" t="e">
        <f>AVERAGEIF(T16:T18,"Abierta",J16:J18)</f>
        <v>#DIV/0!</v>
      </c>
      <c r="K20" s="22">
        <f>SUM(K16:K18)</f>
        <v>0</v>
      </c>
      <c r="L20" s="22">
        <f>SUM(L16:L18)</f>
        <v>0</v>
      </c>
      <c r="M20" s="22">
        <f>SUM(M16:M18)</f>
        <v>0</v>
      </c>
      <c r="N20" s="22">
        <f>SUMIF(T16:T18,"Abierta",N16:N18)</f>
        <v>0</v>
      </c>
      <c r="O20" s="22">
        <f>SUM(O16:O18)</f>
        <v>0</v>
      </c>
      <c r="P20" s="22">
        <f>SUMIF(T16:T18,"Abierta",P16:P18)</f>
        <v>0</v>
      </c>
      <c r="Q20" s="22">
        <f>SUM(Q16:Q18)</f>
        <v>0</v>
      </c>
      <c r="R20" s="111" t="e">
        <f>Q20/H20</f>
        <v>#DIV/0!</v>
      </c>
      <c r="S20" s="160">
        <f>COUNTIF(T16:T18,"Abierta")</f>
        <v>0</v>
      </c>
      <c r="T20" s="160">
        <f>COUNTIF(T16:T18,"Programada")</f>
        <v>0</v>
      </c>
      <c r="W20" s="105"/>
      <c r="Z20" s="27"/>
    </row>
    <row r="21" spans="2:26" x14ac:dyDescent="0.2">
      <c r="B21" s="5" t="s">
        <v>9</v>
      </c>
      <c r="C21" s="2" t="s">
        <v>24</v>
      </c>
      <c r="D21" s="2" t="s">
        <v>95</v>
      </c>
      <c r="E21" s="2" t="s">
        <v>7</v>
      </c>
      <c r="F21" s="5" t="s">
        <v>2</v>
      </c>
      <c r="G21" s="3" t="s">
        <v>3</v>
      </c>
      <c r="H21" s="4" t="s">
        <v>122</v>
      </c>
      <c r="I21" s="2" t="s">
        <v>8</v>
      </c>
      <c r="J21" s="3" t="s">
        <v>4</v>
      </c>
      <c r="K21" s="3" t="s">
        <v>5</v>
      </c>
      <c r="L21" s="3" t="s">
        <v>123</v>
      </c>
      <c r="M21" s="4" t="s">
        <v>120</v>
      </c>
      <c r="N21" s="6" t="s">
        <v>103</v>
      </c>
      <c r="O21" s="6" t="s">
        <v>104</v>
      </c>
      <c r="P21" s="6" t="s">
        <v>89</v>
      </c>
      <c r="Q21" s="6" t="s">
        <v>11</v>
      </c>
      <c r="R21" s="6" t="s">
        <v>45</v>
      </c>
      <c r="S21" s="6" t="s">
        <v>73</v>
      </c>
      <c r="T21" s="6" t="s">
        <v>25</v>
      </c>
      <c r="U21" s="31"/>
      <c r="V21" s="31"/>
    </row>
    <row r="22" spans="2:26" x14ac:dyDescent="0.2">
      <c r="B22" s="249" t="s">
        <v>40</v>
      </c>
      <c r="C22" s="13"/>
      <c r="D22" s="154"/>
      <c r="E22" s="13"/>
      <c r="F22" s="143"/>
      <c r="G22" s="18"/>
      <c r="H22" s="12"/>
      <c r="I22" s="13"/>
      <c r="J22" s="18"/>
      <c r="K22" s="18"/>
      <c r="L22" s="12"/>
      <c r="M22" s="12"/>
      <c r="N22" s="12"/>
      <c r="O22" s="12"/>
      <c r="P22" s="12"/>
      <c r="Q22" s="12"/>
      <c r="R22" s="46"/>
      <c r="W22" s="27"/>
      <c r="X22" s="27"/>
    </row>
    <row r="23" spans="2:26" x14ac:dyDescent="0.2">
      <c r="B23" s="249"/>
      <c r="C23" s="13"/>
      <c r="D23" s="154"/>
      <c r="E23" s="13"/>
      <c r="F23" s="143"/>
      <c r="G23" s="18"/>
      <c r="H23" s="12"/>
      <c r="I23" s="13"/>
      <c r="J23" s="18"/>
      <c r="K23" s="18"/>
      <c r="L23" s="18"/>
      <c r="M23" s="12"/>
      <c r="N23" s="12"/>
      <c r="O23" s="12"/>
      <c r="P23" s="12"/>
      <c r="Q23" s="12"/>
      <c r="R23" s="46"/>
      <c r="X23" s="27"/>
    </row>
    <row r="24" spans="2:26" x14ac:dyDescent="0.2">
      <c r="B24" s="249"/>
      <c r="C24" s="13"/>
      <c r="D24" s="154"/>
      <c r="E24" s="13"/>
      <c r="F24" s="143"/>
      <c r="G24" s="18"/>
      <c r="H24" s="12"/>
      <c r="I24" s="13"/>
      <c r="J24" s="18"/>
      <c r="K24" s="18"/>
      <c r="L24" s="18"/>
      <c r="M24" s="12"/>
      <c r="N24" s="12"/>
      <c r="O24" s="12"/>
      <c r="P24" s="12"/>
      <c r="Q24" s="12"/>
      <c r="R24" s="46"/>
      <c r="X24" s="27"/>
    </row>
    <row r="25" spans="2:26" x14ac:dyDescent="0.2">
      <c r="B25" s="249"/>
      <c r="C25" s="15" t="s">
        <v>137</v>
      </c>
      <c r="D25" s="15" t="s">
        <v>69</v>
      </c>
      <c r="E25" s="132" t="s">
        <v>125</v>
      </c>
      <c r="F25" s="15" t="s">
        <v>31</v>
      </c>
      <c r="G25" s="15" t="s">
        <v>34</v>
      </c>
      <c r="H25" s="15" t="s">
        <v>124</v>
      </c>
      <c r="I25" s="132" t="s">
        <v>113</v>
      </c>
      <c r="J25" s="15" t="s">
        <v>35</v>
      </c>
      <c r="K25" s="15" t="s">
        <v>33</v>
      </c>
      <c r="L25" s="15" t="s">
        <v>121</v>
      </c>
      <c r="M25" s="15" t="s">
        <v>36</v>
      </c>
      <c r="N25" s="15" t="s">
        <v>105</v>
      </c>
      <c r="O25" s="15" t="s">
        <v>106</v>
      </c>
      <c r="P25" s="15" t="s">
        <v>89</v>
      </c>
      <c r="Q25" s="16" t="s">
        <v>32</v>
      </c>
      <c r="R25" s="16" t="s">
        <v>45</v>
      </c>
      <c r="S25" s="15" t="s">
        <v>29</v>
      </c>
      <c r="T25" s="15" t="s">
        <v>128</v>
      </c>
      <c r="X25" s="27"/>
    </row>
    <row r="26" spans="2:26" x14ac:dyDescent="0.2">
      <c r="B26" s="249"/>
      <c r="C26" s="49">
        <f>SUMIF(T22:T24,"Programada",H22:H24)+(SUMIF(T22:T24,"Programada",N22:N24))</f>
        <v>0</v>
      </c>
      <c r="D26" s="159">
        <f>COUNTA(E22:E24)</f>
        <v>0</v>
      </c>
      <c r="E26" s="129">
        <f>H26+N26</f>
        <v>0</v>
      </c>
      <c r="F26" s="147">
        <f>SUMIF(T16:T18,"Abierta",F16:F18)</f>
        <v>0</v>
      </c>
      <c r="G26" s="48" t="e">
        <f>AVERAGEIF(T22:T24,"Abierta",G22:G24)</f>
        <v>#DIV/0!</v>
      </c>
      <c r="H26" s="49">
        <f>SUM(F22:F24)</f>
        <v>0</v>
      </c>
      <c r="I26" s="129">
        <f>L26-(O26+P26)</f>
        <v>0</v>
      </c>
      <c r="J26" s="48" t="e">
        <f>AVERAGEIF(T22:T24,"Abierta",J22:J24)</f>
        <v>#DIV/0!</v>
      </c>
      <c r="K26" s="49">
        <f>SUM(K22:K24)</f>
        <v>0</v>
      </c>
      <c r="L26" s="49">
        <f>SUM(L22:L24)</f>
        <v>0</v>
      </c>
      <c r="M26" s="49">
        <f>SUM(M22:M24)</f>
        <v>0</v>
      </c>
      <c r="N26" s="49">
        <f>SUMIF(T22:T24,"Abierta",N22:N24)</f>
        <v>0</v>
      </c>
      <c r="O26" s="49">
        <f>SUM(O22:O24)</f>
        <v>0</v>
      </c>
      <c r="P26" s="49">
        <f>SUMIF(T22:T24,"Abierta",P22:P24)</f>
        <v>0</v>
      </c>
      <c r="Q26" s="49">
        <f>SUM(Q22:Q24)</f>
        <v>0</v>
      </c>
      <c r="R26" s="112" t="e">
        <f>Q26/H26</f>
        <v>#DIV/0!</v>
      </c>
      <c r="S26" s="159">
        <f>COUNTIF(T22:T24,"Abierta")</f>
        <v>0</v>
      </c>
      <c r="T26" s="159">
        <f>COUNTIF(T22:T24,"Programada")</f>
        <v>0</v>
      </c>
    </row>
    <row r="27" spans="2:26" x14ac:dyDescent="0.2">
      <c r="B27" s="5" t="s">
        <v>9</v>
      </c>
      <c r="C27" s="2" t="s">
        <v>24</v>
      </c>
      <c r="D27" s="2" t="s">
        <v>95</v>
      </c>
      <c r="E27" s="2" t="s">
        <v>7</v>
      </c>
      <c r="F27" s="5" t="s">
        <v>2</v>
      </c>
      <c r="G27" s="3" t="s">
        <v>3</v>
      </c>
      <c r="H27" s="4" t="s">
        <v>122</v>
      </c>
      <c r="I27" s="2" t="s">
        <v>8</v>
      </c>
      <c r="J27" s="3" t="s">
        <v>4</v>
      </c>
      <c r="K27" s="3" t="s">
        <v>5</v>
      </c>
      <c r="L27" s="3" t="s">
        <v>123</v>
      </c>
      <c r="M27" s="4" t="s">
        <v>120</v>
      </c>
      <c r="N27" s="6" t="s">
        <v>103</v>
      </c>
      <c r="O27" s="6" t="s">
        <v>104</v>
      </c>
      <c r="P27" s="6" t="s">
        <v>89</v>
      </c>
      <c r="Q27" s="6" t="s">
        <v>11</v>
      </c>
      <c r="R27" s="6" t="s">
        <v>45</v>
      </c>
      <c r="S27" s="6" t="s">
        <v>73</v>
      </c>
      <c r="T27" s="6" t="s">
        <v>25</v>
      </c>
    </row>
    <row r="28" spans="2:26" x14ac:dyDescent="0.2">
      <c r="B28" s="250" t="s">
        <v>48</v>
      </c>
      <c r="C28" s="13"/>
      <c r="D28" s="154"/>
      <c r="E28" s="13"/>
      <c r="F28" s="143"/>
      <c r="G28" s="18"/>
      <c r="H28" s="12"/>
      <c r="I28" s="13"/>
      <c r="J28" s="18"/>
      <c r="K28" s="18"/>
      <c r="L28" s="18"/>
      <c r="M28" s="12"/>
      <c r="N28" s="12"/>
      <c r="O28" s="12"/>
      <c r="P28" s="12"/>
      <c r="Q28" s="12"/>
      <c r="R28" s="46"/>
    </row>
    <row r="29" spans="2:26" x14ac:dyDescent="0.2">
      <c r="B29" s="250"/>
      <c r="C29" s="13"/>
      <c r="D29" s="154"/>
      <c r="E29" s="13"/>
      <c r="F29" s="143"/>
      <c r="G29" s="18"/>
      <c r="H29" s="12"/>
      <c r="I29" s="13"/>
      <c r="J29" s="18"/>
      <c r="K29" s="18"/>
      <c r="L29" s="12"/>
      <c r="M29" s="12"/>
      <c r="N29" s="12"/>
      <c r="O29" s="12"/>
      <c r="P29" s="12"/>
      <c r="Q29" s="12"/>
      <c r="R29" s="46"/>
    </row>
    <row r="30" spans="2:26" x14ac:dyDescent="0.2">
      <c r="B30" s="250"/>
      <c r="C30" s="13"/>
      <c r="D30" s="154"/>
      <c r="E30" s="13"/>
      <c r="F30" s="143"/>
      <c r="G30" s="18"/>
      <c r="H30" s="12"/>
      <c r="I30" s="13"/>
      <c r="J30" s="18"/>
      <c r="K30" s="18"/>
      <c r="L30" s="18"/>
      <c r="M30" s="12"/>
      <c r="N30" s="12"/>
      <c r="O30" s="12"/>
      <c r="P30" s="12"/>
      <c r="Q30" s="12"/>
      <c r="R30" s="46"/>
    </row>
    <row r="31" spans="2:26" x14ac:dyDescent="0.2">
      <c r="B31" s="250"/>
      <c r="C31" s="15" t="s">
        <v>137</v>
      </c>
      <c r="D31" s="15" t="s">
        <v>69</v>
      </c>
      <c r="E31" s="132" t="s">
        <v>125</v>
      </c>
      <c r="F31" s="15" t="s">
        <v>31</v>
      </c>
      <c r="G31" s="15" t="s">
        <v>34</v>
      </c>
      <c r="H31" s="15" t="s">
        <v>124</v>
      </c>
      <c r="I31" s="132" t="s">
        <v>113</v>
      </c>
      <c r="J31" s="15" t="s">
        <v>35</v>
      </c>
      <c r="K31" s="15" t="s">
        <v>33</v>
      </c>
      <c r="L31" s="15" t="s">
        <v>121</v>
      </c>
      <c r="M31" s="15" t="s">
        <v>36</v>
      </c>
      <c r="N31" s="15" t="s">
        <v>105</v>
      </c>
      <c r="O31" s="15" t="s">
        <v>106</v>
      </c>
      <c r="P31" s="15" t="s">
        <v>89</v>
      </c>
      <c r="Q31" s="16" t="s">
        <v>32</v>
      </c>
      <c r="R31" s="16" t="s">
        <v>45</v>
      </c>
      <c r="S31" s="15" t="s">
        <v>29</v>
      </c>
      <c r="T31" s="15" t="s">
        <v>128</v>
      </c>
    </row>
    <row r="32" spans="2:26" x14ac:dyDescent="0.2">
      <c r="B32" s="250"/>
      <c r="C32" s="56">
        <f>SUMIF(T28:T30,"Programada",H28:H30)+(SUMIF(T28:T30,"Programada",N28:N30))</f>
        <v>0</v>
      </c>
      <c r="D32" s="158">
        <f>COUNTA(E28:E30)</f>
        <v>0</v>
      </c>
      <c r="E32" s="127">
        <f>H32+N32</f>
        <v>0</v>
      </c>
      <c r="F32" s="148">
        <f>SUMIF(T16:T18,"Abierta",F16:F18)</f>
        <v>0</v>
      </c>
      <c r="G32" s="55" t="e">
        <f>AVERAGEIF(T28:T30,"Abierta",G28:G30)</f>
        <v>#DIV/0!</v>
      </c>
      <c r="H32" s="56">
        <f>SUM(F28:F30)</f>
        <v>0</v>
      </c>
      <c r="I32" s="127">
        <f>L32-(O32+P32)</f>
        <v>0</v>
      </c>
      <c r="J32" s="55" t="e">
        <f>AVERAGEIF(T28:T30,"Abierta",J28:J30)</f>
        <v>#DIV/0!</v>
      </c>
      <c r="K32" s="56">
        <f>SUM(K28:K30)</f>
        <v>0</v>
      </c>
      <c r="L32" s="56">
        <f>SUM(L28:L30)</f>
        <v>0</v>
      </c>
      <c r="M32" s="56">
        <f>SUM(M28:M30)</f>
        <v>0</v>
      </c>
      <c r="N32" s="56">
        <f>SUMIF(T28:T30,"Abierta",N28:N30)</f>
        <v>0</v>
      </c>
      <c r="O32" s="56">
        <f>SUM(O28:O30)</f>
        <v>0</v>
      </c>
      <c r="P32" s="56">
        <f>SUMIF(T28:T30,"Abierta",P28:P30)</f>
        <v>0</v>
      </c>
      <c r="Q32" s="56">
        <f>SUM(Q26:Q30)</f>
        <v>0</v>
      </c>
      <c r="R32" s="130" t="e">
        <f>Q32/H32</f>
        <v>#DIV/0!</v>
      </c>
      <c r="S32" s="158">
        <f>COUNTIF(T28:T30,"Abierta")</f>
        <v>0</v>
      </c>
      <c r="T32" s="158">
        <f>COUNTIF(T28:T30,"Programada")</f>
        <v>0</v>
      </c>
    </row>
    <row r="33" spans="2:31" x14ac:dyDescent="0.2">
      <c r="B33" s="114"/>
      <c r="C33" s="113" t="s">
        <v>160</v>
      </c>
      <c r="D33" s="113"/>
      <c r="E33" s="116"/>
      <c r="F33" s="117"/>
      <c r="G33" s="114"/>
      <c r="H33" s="118"/>
      <c r="I33" s="118"/>
      <c r="J33" s="116"/>
      <c r="K33" s="116"/>
      <c r="L33" s="116"/>
      <c r="M33" s="116"/>
      <c r="N33" s="116"/>
      <c r="O33" s="115"/>
      <c r="P33" s="116"/>
      <c r="Q33" s="115"/>
      <c r="R33" s="115"/>
      <c r="S33" s="115"/>
      <c r="T33" s="115"/>
    </row>
    <row r="34" spans="2:31" x14ac:dyDescent="0.2">
      <c r="B34" s="114"/>
      <c r="C34" s="13"/>
      <c r="D34" s="154"/>
      <c r="E34" s="13"/>
      <c r="F34" s="143"/>
      <c r="G34" s="18"/>
      <c r="H34" s="12">
        <f>G34*F34</f>
        <v>0</v>
      </c>
      <c r="I34" s="13"/>
      <c r="J34" s="18"/>
      <c r="K34" s="18">
        <f>J34-G34</f>
        <v>0</v>
      </c>
      <c r="L34" s="12">
        <f>F34*J34</f>
        <v>0</v>
      </c>
      <c r="M34" s="12">
        <f>F34*K34</f>
        <v>0</v>
      </c>
      <c r="N34" s="12" cm="1">
        <f t="array" ref="N34">_xlfn.IFS(E34="",0,H34&lt;4166.67,5,H34&gt;4166.67,H34*0.12%)</f>
        <v>0</v>
      </c>
      <c r="O34" s="12" cm="1">
        <f t="array" ref="O34">_xlfn.IFS(I34="",0,L34&lt;4166.67,5,L34&gt;4166.67,L34*0.12%)</f>
        <v>0</v>
      </c>
      <c r="P34" s="12">
        <f t="shared" ref="P34" si="5">H34*0.002</f>
        <v>0</v>
      </c>
      <c r="Q34" s="12">
        <f t="shared" ref="Q34" si="6">M34-(N34+O34+P34)</f>
        <v>0</v>
      </c>
      <c r="R34" s="46" t="e">
        <f>Q34/H34</f>
        <v>#DIV/0!</v>
      </c>
    </row>
    <row r="35" spans="2:31" x14ac:dyDescent="0.2">
      <c r="B35" s="114"/>
      <c r="C35" s="113"/>
      <c r="D35" s="113"/>
      <c r="E35" s="116"/>
      <c r="F35" s="117"/>
      <c r="G35" s="114"/>
      <c r="H35" s="118"/>
      <c r="I35" s="118"/>
      <c r="J35" s="116"/>
      <c r="K35" s="116"/>
      <c r="L35" s="116"/>
      <c r="M35" s="116"/>
      <c r="N35" s="116"/>
      <c r="O35" s="115"/>
      <c r="P35" s="116"/>
      <c r="Q35" s="115"/>
      <c r="R35" s="115"/>
      <c r="S35" s="115"/>
      <c r="T35" s="115"/>
    </row>
    <row r="36" spans="2:31" x14ac:dyDescent="0.2">
      <c r="B36" s="114"/>
      <c r="C36" s="8" t="s">
        <v>64</v>
      </c>
      <c r="D36" s="8" t="s">
        <v>65</v>
      </c>
      <c r="E36" s="116"/>
      <c r="F36" s="117"/>
      <c r="G36" s="114"/>
      <c r="H36" s="118"/>
      <c r="I36" s="118"/>
      <c r="J36" s="116"/>
      <c r="K36" s="116"/>
      <c r="L36" s="116"/>
      <c r="M36" s="116"/>
      <c r="N36" s="116"/>
      <c r="O36" s="115"/>
      <c r="P36" s="116"/>
      <c r="Q36" s="115"/>
      <c r="R36" s="115"/>
      <c r="S36" s="115"/>
      <c r="T36" s="115"/>
    </row>
    <row r="37" spans="2:31" x14ac:dyDescent="0.2">
      <c r="B37" s="5" t="s">
        <v>9</v>
      </c>
      <c r="C37" s="2" t="s">
        <v>24</v>
      </c>
      <c r="D37" s="2" t="s">
        <v>95</v>
      </c>
      <c r="E37" s="2" t="s">
        <v>7</v>
      </c>
      <c r="F37" s="5" t="s">
        <v>2</v>
      </c>
      <c r="G37" s="3" t="s">
        <v>3</v>
      </c>
      <c r="H37" s="4" t="s">
        <v>122</v>
      </c>
      <c r="I37" s="2" t="s">
        <v>8</v>
      </c>
      <c r="J37" s="3" t="s">
        <v>4</v>
      </c>
      <c r="K37" s="3" t="s">
        <v>5</v>
      </c>
      <c r="L37" s="3" t="s">
        <v>123</v>
      </c>
      <c r="M37" s="4" t="s">
        <v>120</v>
      </c>
      <c r="N37" s="6" t="s">
        <v>103</v>
      </c>
      <c r="O37" s="6" t="s">
        <v>104</v>
      </c>
      <c r="P37" s="6" t="s">
        <v>89</v>
      </c>
      <c r="Q37" s="6" t="s">
        <v>11</v>
      </c>
      <c r="R37" s="6" t="s">
        <v>45</v>
      </c>
      <c r="S37" s="6" t="s">
        <v>73</v>
      </c>
      <c r="T37" s="6" t="s">
        <v>25</v>
      </c>
    </row>
    <row r="38" spans="2:31" ht="13.9" customHeight="1" x14ac:dyDescent="0.2">
      <c r="B38" s="247" t="s">
        <v>26</v>
      </c>
      <c r="C38" s="13"/>
      <c r="D38" s="154"/>
      <c r="E38" s="13"/>
      <c r="F38" s="143"/>
      <c r="G38" s="18"/>
      <c r="H38" s="12"/>
      <c r="I38" s="13"/>
      <c r="J38" s="18"/>
      <c r="K38" s="18"/>
      <c r="L38" s="12"/>
      <c r="M38" s="12"/>
      <c r="N38" s="12"/>
      <c r="O38" s="12"/>
      <c r="P38" s="12"/>
      <c r="Q38" s="12"/>
      <c r="R38" s="46"/>
      <c r="X38" s="27"/>
    </row>
    <row r="39" spans="2:31" x14ac:dyDescent="0.2">
      <c r="B39" s="247"/>
      <c r="C39" s="13" t="s">
        <v>162</v>
      </c>
      <c r="D39" s="154">
        <v>1</v>
      </c>
      <c r="E39" s="13">
        <v>45965</v>
      </c>
      <c r="F39" s="143">
        <v>1500</v>
      </c>
      <c r="G39" s="18">
        <v>3.7549999999999999</v>
      </c>
      <c r="H39" s="12">
        <f>G39*F39</f>
        <v>5632.5</v>
      </c>
      <c r="I39" s="13">
        <v>46119</v>
      </c>
      <c r="J39" s="18">
        <v>3.9</v>
      </c>
      <c r="K39" s="18">
        <f>J39-G39</f>
        <v>0.14500000000000002</v>
      </c>
      <c r="L39" s="12">
        <f>F39*J39</f>
        <v>5850</v>
      </c>
      <c r="M39" s="12">
        <f>F39*K39</f>
        <v>217.50000000000003</v>
      </c>
      <c r="N39" s="12" cm="1">
        <f t="array" ref="N39">_xlfn.IFS(E39="",0,H39&lt;4166.67,5,H39&gt;4166.67,H39*0.12%)</f>
        <v>6.7589999999999995</v>
      </c>
      <c r="O39" s="12" cm="1">
        <f t="array" ref="O39">_xlfn.IFS(I39="",0,L39&lt;4166.67,5,L39&gt;4166.67,L39*0.12%)</f>
        <v>7.02</v>
      </c>
      <c r="P39" s="12">
        <f t="shared" ref="P39" si="7">H39*0.002</f>
        <v>11.265000000000001</v>
      </c>
      <c r="Q39" s="12">
        <f t="shared" ref="Q39" si="8">M39-(N39+O39+P39)</f>
        <v>192.45600000000002</v>
      </c>
      <c r="R39" s="214">
        <f>Q39/H39</f>
        <v>3.4168841544607191E-2</v>
      </c>
      <c r="S39" s="25" t="s">
        <v>15</v>
      </c>
      <c r="T39" s="25" t="s">
        <v>38</v>
      </c>
      <c r="W39" s="104"/>
      <c r="Z39" s="27"/>
    </row>
    <row r="40" spans="2:31" x14ac:dyDescent="0.2">
      <c r="B40" s="247"/>
      <c r="C40" s="246" t="s">
        <v>168</v>
      </c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</row>
    <row r="41" spans="2:31" x14ac:dyDescent="0.2">
      <c r="B41" s="247"/>
      <c r="C41" s="13" t="s">
        <v>50</v>
      </c>
      <c r="D41" s="154">
        <v>2</v>
      </c>
      <c r="E41" s="13">
        <v>45947</v>
      </c>
      <c r="F41" s="143">
        <v>1700</v>
      </c>
      <c r="G41" s="18">
        <v>2.97</v>
      </c>
      <c r="H41" s="12">
        <f>G41*F41</f>
        <v>5049</v>
      </c>
      <c r="I41" s="13">
        <v>45965</v>
      </c>
      <c r="J41" s="18">
        <v>3.3</v>
      </c>
      <c r="K41" s="18">
        <f>J41-G41</f>
        <v>0.32999999999999963</v>
      </c>
      <c r="L41" s="12">
        <f>F41*J41</f>
        <v>5610</v>
      </c>
      <c r="M41" s="12">
        <f>F41*K41</f>
        <v>560.99999999999932</v>
      </c>
      <c r="N41" s="12" cm="1">
        <f t="array" ref="N41">_xlfn.IFS(E41="",0,H41&lt;4166.67,5,H41&gt;4166.67,H41*0.12%)</f>
        <v>6.0587999999999997</v>
      </c>
      <c r="O41" s="12" cm="1">
        <f t="array" ref="O41">_xlfn.IFS(I41="",0,L41&lt;4166.67,5,L41&gt;4166.67,L41*0.12%)</f>
        <v>6.7319999999999993</v>
      </c>
      <c r="P41" s="12">
        <f t="shared" ref="P41" si="9">H41*0.002</f>
        <v>10.098000000000001</v>
      </c>
      <c r="Q41" s="12">
        <f t="shared" ref="Q41" si="10">M41-(N41+O41+P41)</f>
        <v>538.11119999999937</v>
      </c>
      <c r="R41" s="214">
        <f>Q41/H41</f>
        <v>0.10657777777777765</v>
      </c>
      <c r="S41" s="215" t="s">
        <v>22</v>
      </c>
      <c r="T41" s="215" t="s">
        <v>38</v>
      </c>
      <c r="W41" s="104"/>
      <c r="Z41" s="27"/>
    </row>
    <row r="42" spans="2:31" x14ac:dyDescent="0.2">
      <c r="B42" s="247"/>
      <c r="C42" s="13" t="s">
        <v>50</v>
      </c>
      <c r="D42" s="154" t="s">
        <v>164</v>
      </c>
      <c r="E42" s="13">
        <v>45917</v>
      </c>
      <c r="F42" s="143">
        <v>600</v>
      </c>
      <c r="G42" s="18">
        <v>3.16</v>
      </c>
      <c r="H42" s="12">
        <f>G42*F42</f>
        <v>1896</v>
      </c>
      <c r="I42" s="13">
        <v>45919</v>
      </c>
      <c r="J42" s="18">
        <v>3.2829999999999999</v>
      </c>
      <c r="K42" s="18">
        <f>J42-G42</f>
        <v>0.12299999999999978</v>
      </c>
      <c r="L42" s="12">
        <f>F42*J42</f>
        <v>1969.8</v>
      </c>
      <c r="M42" s="12">
        <f>F42*K42</f>
        <v>73.799999999999869</v>
      </c>
      <c r="N42" s="12"/>
      <c r="O42" s="12" cm="1">
        <f t="array" ref="O42">_xlfn.IFS(I42="",0,L42&lt;4166.67,5,L42&gt;4166.67,L42*0.12%)</f>
        <v>5</v>
      </c>
      <c r="P42" s="12"/>
      <c r="Q42" s="12">
        <f t="shared" ref="Q42" si="11">M42-(N42+O42+P42)</f>
        <v>68.799999999999869</v>
      </c>
      <c r="R42" s="214">
        <f>Q42/H42</f>
        <v>3.6286919831223563E-2</v>
      </c>
      <c r="S42" s="215" t="s">
        <v>20</v>
      </c>
      <c r="T42" s="215" t="s">
        <v>38</v>
      </c>
      <c r="W42" s="27"/>
      <c r="X42" s="27"/>
      <c r="AD42" s="209"/>
      <c r="AE42" s="209"/>
    </row>
    <row r="43" spans="2:31" x14ac:dyDescent="0.2">
      <c r="B43" s="247"/>
      <c r="C43" s="13" t="s">
        <v>50</v>
      </c>
      <c r="D43" s="154" t="s">
        <v>165</v>
      </c>
      <c r="E43" s="13">
        <v>45917</v>
      </c>
      <c r="F43" s="143">
        <v>1000</v>
      </c>
      <c r="G43" s="18">
        <v>3.16</v>
      </c>
      <c r="H43" s="12">
        <f>G43*F43</f>
        <v>3160</v>
      </c>
      <c r="I43" s="13">
        <v>45919</v>
      </c>
      <c r="J43" s="18">
        <v>3.28</v>
      </c>
      <c r="K43" s="18">
        <f>J43-G43</f>
        <v>0.11999999999999966</v>
      </c>
      <c r="L43" s="12">
        <f>F43*J43</f>
        <v>3280</v>
      </c>
      <c r="M43" s="12">
        <f>F43*K43</f>
        <v>119.99999999999966</v>
      </c>
      <c r="N43" s="12">
        <v>6.07</v>
      </c>
      <c r="O43" s="12" cm="1">
        <f t="array" ref="O43">_xlfn.IFS(I43="",0,L43&lt;4166.67,5,L43&gt;4166.67,L43*0.12%)</f>
        <v>5</v>
      </c>
      <c r="P43" s="12">
        <v>10.11</v>
      </c>
      <c r="Q43" s="12">
        <f t="shared" ref="Q43" si="12">M43-(N43+O43+P43)</f>
        <v>98.819999999999652</v>
      </c>
      <c r="R43" s="214">
        <f>Q43/H43</f>
        <v>3.1272151898734064E-2</v>
      </c>
      <c r="S43" s="215" t="s">
        <v>20</v>
      </c>
      <c r="T43" s="215" t="s">
        <v>38</v>
      </c>
      <c r="W43" s="27"/>
      <c r="X43" s="27"/>
    </row>
    <row r="44" spans="2:31" ht="13.9" customHeight="1" x14ac:dyDescent="0.2">
      <c r="B44" s="247"/>
      <c r="C44" s="13" t="s">
        <v>49</v>
      </c>
      <c r="D44" s="154">
        <v>1</v>
      </c>
      <c r="E44" s="13">
        <v>45825</v>
      </c>
      <c r="F44" s="143">
        <v>730</v>
      </c>
      <c r="G44" s="18">
        <v>6.7949999999999999</v>
      </c>
      <c r="H44" s="12">
        <f>G44*F44</f>
        <v>4960.3500000000004</v>
      </c>
      <c r="I44" s="13">
        <v>45832</v>
      </c>
      <c r="J44" s="18">
        <v>7.117</v>
      </c>
      <c r="K44" s="18">
        <f>J44-G44</f>
        <v>0.32200000000000006</v>
      </c>
      <c r="L44" s="12">
        <f t="shared" ref="L44" si="13">F44*J44</f>
        <v>5195.41</v>
      </c>
      <c r="M44" s="12">
        <f>F44*K44</f>
        <v>235.06000000000006</v>
      </c>
      <c r="N44" s="12" cm="1">
        <f t="array" ref="N44">_xlfn.IFS(E44="",0,H44&lt;4166.67,5,H44&gt;4166.67,H44*0.12%)</f>
        <v>5.95242</v>
      </c>
      <c r="O44" s="12" cm="1">
        <f t="array" ref="O44">_xlfn.IFS(I44="",0,L44&lt;4166.67,5,L44&gt;4166.67,L44*0.12%)</f>
        <v>6.2344919999999995</v>
      </c>
      <c r="P44" s="12">
        <f>H44*0.002</f>
        <v>9.9207000000000001</v>
      </c>
      <c r="Q44" s="12">
        <f>M44-(N44+O44+P44)</f>
        <v>212.95238800000007</v>
      </c>
      <c r="R44" s="214">
        <f>Q44/H44</f>
        <v>4.2930919793966162E-2</v>
      </c>
      <c r="S44" s="215" t="s">
        <v>17</v>
      </c>
      <c r="T44" s="215" t="s">
        <v>38</v>
      </c>
      <c r="W44" s="27"/>
      <c r="X44" s="27"/>
    </row>
    <row r="45" spans="2:31" x14ac:dyDescent="0.2">
      <c r="B45" s="247"/>
      <c r="C45" s="15"/>
      <c r="D45" s="15" t="s">
        <v>69</v>
      </c>
      <c r="E45" s="132" t="s">
        <v>125</v>
      </c>
      <c r="F45" s="15" t="s">
        <v>31</v>
      </c>
      <c r="G45" s="15" t="s">
        <v>34</v>
      </c>
      <c r="H45" s="15" t="s">
        <v>124</v>
      </c>
      <c r="I45" s="132" t="s">
        <v>113</v>
      </c>
      <c r="J45" s="15" t="s">
        <v>35</v>
      </c>
      <c r="K45" s="15" t="s">
        <v>33</v>
      </c>
      <c r="L45" s="15" t="s">
        <v>121</v>
      </c>
      <c r="M45" s="15" t="s">
        <v>36</v>
      </c>
      <c r="N45" s="15" t="s">
        <v>105</v>
      </c>
      <c r="O45" s="15" t="s">
        <v>106</v>
      </c>
      <c r="P45" s="15" t="s">
        <v>89</v>
      </c>
      <c r="Q45" s="16" t="s">
        <v>32</v>
      </c>
      <c r="R45" s="16" t="s">
        <v>45</v>
      </c>
      <c r="S45" s="132" t="s">
        <v>36</v>
      </c>
      <c r="T45" s="132" t="s">
        <v>127</v>
      </c>
      <c r="AA45" s="27"/>
    </row>
    <row r="46" spans="2:31" x14ac:dyDescent="0.2">
      <c r="B46" s="247"/>
      <c r="C46" s="7"/>
      <c r="D46" s="157">
        <f>COUNTA(E38:E44)</f>
        <v>5</v>
      </c>
      <c r="E46" s="131">
        <f>H46+N46</f>
        <v>20722.690219999997</v>
      </c>
      <c r="F46" s="146">
        <f>SUM(F38:F44)</f>
        <v>5530</v>
      </c>
      <c r="G46" s="19">
        <f>AVERAGE(G38:G44)</f>
        <v>3.968</v>
      </c>
      <c r="H46" s="20">
        <f>SUM(H38:H44)</f>
        <v>20697.849999999999</v>
      </c>
      <c r="I46" s="131">
        <f>L46-(O46+P46)</f>
        <v>21833.829807999999</v>
      </c>
      <c r="J46" s="19">
        <f>AVERAGE(J38:J44)</f>
        <v>4.1760000000000002</v>
      </c>
      <c r="K46" s="19">
        <f t="shared" ref="K46:Q46" si="14">SUM(K38:K44)</f>
        <v>1.0399999999999991</v>
      </c>
      <c r="L46" s="20">
        <f t="shared" si="14"/>
        <v>21905.21</v>
      </c>
      <c r="M46" s="20">
        <f t="shared" si="14"/>
        <v>1207.3599999999988</v>
      </c>
      <c r="N46" s="20">
        <f t="shared" si="14"/>
        <v>24.840219999999999</v>
      </c>
      <c r="O46" s="20">
        <f t="shared" si="14"/>
        <v>29.986491999999998</v>
      </c>
      <c r="P46" s="20">
        <f t="shared" si="14"/>
        <v>41.393699999999995</v>
      </c>
      <c r="Q46" s="20">
        <f t="shared" si="14"/>
        <v>1111.1395879999991</v>
      </c>
      <c r="R46" s="110">
        <f>Q46/H46</f>
        <v>5.368381682155389E-2</v>
      </c>
      <c r="S46" s="131">
        <f>SUM(P38:Q44)</f>
        <v>1152.5332879999989</v>
      </c>
      <c r="T46" s="131">
        <f>I46-E46</f>
        <v>1111.1395880000018</v>
      </c>
      <c r="V46" s="27"/>
      <c r="W46" s="27"/>
    </row>
    <row r="47" spans="2:31" x14ac:dyDescent="0.2">
      <c r="B47" s="5" t="s">
        <v>9</v>
      </c>
      <c r="C47" s="2" t="s">
        <v>24</v>
      </c>
      <c r="D47" s="2" t="s">
        <v>95</v>
      </c>
      <c r="E47" s="2" t="s">
        <v>7</v>
      </c>
      <c r="F47" s="5" t="s">
        <v>2</v>
      </c>
      <c r="G47" s="3" t="s">
        <v>3</v>
      </c>
      <c r="H47" s="4" t="s">
        <v>122</v>
      </c>
      <c r="I47" s="2" t="s">
        <v>8</v>
      </c>
      <c r="J47" s="3" t="s">
        <v>4</v>
      </c>
      <c r="K47" s="3" t="s">
        <v>5</v>
      </c>
      <c r="L47" s="3" t="s">
        <v>123</v>
      </c>
      <c r="M47" s="4" t="s">
        <v>120</v>
      </c>
      <c r="N47" s="6" t="s">
        <v>103</v>
      </c>
      <c r="O47" s="6" t="s">
        <v>104</v>
      </c>
      <c r="P47" s="6" t="s">
        <v>89</v>
      </c>
      <c r="Q47" s="6" t="s">
        <v>11</v>
      </c>
      <c r="R47" s="6" t="s">
        <v>45</v>
      </c>
      <c r="S47" s="6" t="s">
        <v>73</v>
      </c>
      <c r="T47" s="6" t="s">
        <v>25</v>
      </c>
    </row>
    <row r="48" spans="2:31" ht="13.9" customHeight="1" x14ac:dyDescent="0.2">
      <c r="B48" s="248" t="s">
        <v>28</v>
      </c>
      <c r="C48" s="13"/>
      <c r="D48" s="154"/>
      <c r="E48" s="13"/>
      <c r="F48" s="143"/>
      <c r="G48" s="18"/>
      <c r="H48" s="12"/>
      <c r="I48" s="13"/>
      <c r="J48" s="18"/>
      <c r="K48" s="18"/>
      <c r="L48" s="12"/>
      <c r="M48" s="12"/>
      <c r="N48" s="12"/>
      <c r="O48" s="12"/>
      <c r="P48" s="12"/>
      <c r="Q48" s="12"/>
      <c r="R48" s="46"/>
      <c r="X48" s="27"/>
    </row>
    <row r="49" spans="2:24" x14ac:dyDescent="0.2">
      <c r="B49" s="248"/>
      <c r="C49" s="13"/>
      <c r="D49" s="154"/>
      <c r="E49" s="13"/>
      <c r="F49" s="143"/>
      <c r="G49" s="18"/>
      <c r="H49" s="12"/>
      <c r="I49" s="13"/>
      <c r="J49" s="18"/>
      <c r="K49" s="18"/>
      <c r="L49" s="12"/>
      <c r="M49" s="12"/>
      <c r="N49" s="12"/>
      <c r="O49" s="12"/>
      <c r="P49" s="12"/>
      <c r="Q49" s="128"/>
      <c r="R49" s="46"/>
    </row>
    <row r="50" spans="2:24" x14ac:dyDescent="0.2">
      <c r="B50" s="248"/>
      <c r="C50" s="246" t="s">
        <v>168</v>
      </c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</row>
    <row r="51" spans="2:24" x14ac:dyDescent="0.2">
      <c r="B51" s="248"/>
      <c r="C51" s="15"/>
      <c r="D51" s="15" t="s">
        <v>69</v>
      </c>
      <c r="E51" s="132" t="s">
        <v>125</v>
      </c>
      <c r="F51" s="15" t="s">
        <v>31</v>
      </c>
      <c r="G51" s="15" t="s">
        <v>34</v>
      </c>
      <c r="H51" s="15" t="s">
        <v>124</v>
      </c>
      <c r="I51" s="132" t="s">
        <v>113</v>
      </c>
      <c r="J51" s="15" t="s">
        <v>35</v>
      </c>
      <c r="K51" s="15" t="s">
        <v>33</v>
      </c>
      <c r="L51" s="15" t="s">
        <v>121</v>
      </c>
      <c r="M51" s="15" t="s">
        <v>36</v>
      </c>
      <c r="N51" s="15" t="s">
        <v>105</v>
      </c>
      <c r="O51" s="15" t="s">
        <v>106</v>
      </c>
      <c r="P51" s="15" t="s">
        <v>89</v>
      </c>
      <c r="Q51" s="16" t="s">
        <v>32</v>
      </c>
      <c r="R51" s="16" t="s">
        <v>45</v>
      </c>
      <c r="S51" s="132" t="s">
        <v>36</v>
      </c>
      <c r="T51" s="132" t="s">
        <v>127</v>
      </c>
    </row>
    <row r="52" spans="2:24" x14ac:dyDescent="0.2">
      <c r="B52" s="248"/>
      <c r="C52" s="8"/>
      <c r="D52" s="160">
        <f>COUNTA(E48:E50)</f>
        <v>0</v>
      </c>
      <c r="E52" s="127">
        <f>H52+N52</f>
        <v>0</v>
      </c>
      <c r="F52" s="145">
        <f>SUM(F48:F50)</f>
        <v>0</v>
      </c>
      <c r="G52" s="21" t="e">
        <f>AVERAGE(G48:G50)</f>
        <v>#DIV/0!</v>
      </c>
      <c r="H52" s="22">
        <f>SUM(H48:H50)</f>
        <v>0</v>
      </c>
      <c r="I52" s="127">
        <f>L52-(O52+P52)</f>
        <v>0</v>
      </c>
      <c r="J52" s="21" t="e">
        <f>AVERAGE(J48:J50)</f>
        <v>#DIV/0!</v>
      </c>
      <c r="K52" s="22">
        <f t="shared" ref="K52:Q52" si="15">SUM(K48:K50)</f>
        <v>0</v>
      </c>
      <c r="L52" s="22">
        <f t="shared" si="15"/>
        <v>0</v>
      </c>
      <c r="M52" s="22">
        <f t="shared" si="15"/>
        <v>0</v>
      </c>
      <c r="N52" s="22">
        <f t="shared" si="15"/>
        <v>0</v>
      </c>
      <c r="O52" s="22">
        <f t="shared" si="15"/>
        <v>0</v>
      </c>
      <c r="P52" s="22">
        <f t="shared" si="15"/>
        <v>0</v>
      </c>
      <c r="Q52" s="22">
        <f t="shared" si="15"/>
        <v>0</v>
      </c>
      <c r="R52" s="111" t="e">
        <f>Q52/H52</f>
        <v>#DIV/0!</v>
      </c>
      <c r="S52" s="127">
        <f>SUM(P48:Q50)</f>
        <v>0</v>
      </c>
      <c r="T52" s="127">
        <f>I52-E52</f>
        <v>0</v>
      </c>
    </row>
    <row r="53" spans="2:24" x14ac:dyDescent="0.2">
      <c r="B53" s="5" t="s">
        <v>9</v>
      </c>
      <c r="C53" s="2" t="s">
        <v>24</v>
      </c>
      <c r="D53" s="2" t="s">
        <v>95</v>
      </c>
      <c r="E53" s="2" t="s">
        <v>7</v>
      </c>
      <c r="F53" s="5" t="s">
        <v>2</v>
      </c>
      <c r="G53" s="3" t="s">
        <v>3</v>
      </c>
      <c r="H53" s="4" t="s">
        <v>1</v>
      </c>
      <c r="I53" s="2" t="s">
        <v>8</v>
      </c>
      <c r="J53" s="3" t="s">
        <v>4</v>
      </c>
      <c r="K53" s="3" t="s">
        <v>5</v>
      </c>
      <c r="L53" s="3" t="s">
        <v>123</v>
      </c>
      <c r="M53" s="4" t="s">
        <v>120</v>
      </c>
      <c r="N53" s="6" t="s">
        <v>103</v>
      </c>
      <c r="O53" s="6" t="s">
        <v>104</v>
      </c>
      <c r="P53" s="6" t="s">
        <v>89</v>
      </c>
      <c r="Q53" s="6" t="s">
        <v>11</v>
      </c>
      <c r="R53" s="6" t="s">
        <v>45</v>
      </c>
      <c r="S53" s="6" t="s">
        <v>73</v>
      </c>
      <c r="T53" s="6" t="s">
        <v>25</v>
      </c>
    </row>
    <row r="54" spans="2:24" ht="13.9" customHeight="1" x14ac:dyDescent="0.2">
      <c r="B54" s="249" t="s">
        <v>40</v>
      </c>
      <c r="C54" s="13"/>
      <c r="D54" s="154"/>
      <c r="E54" s="13"/>
      <c r="F54" s="143"/>
      <c r="G54" s="18"/>
      <c r="H54" s="12"/>
      <c r="I54" s="13"/>
      <c r="J54" s="18"/>
      <c r="K54" s="18"/>
      <c r="L54" s="12"/>
      <c r="M54" s="12"/>
      <c r="N54" s="12"/>
      <c r="O54" s="12"/>
      <c r="P54" s="12"/>
      <c r="Q54" s="12"/>
      <c r="R54" s="46"/>
      <c r="X54" s="27"/>
    </row>
    <row r="55" spans="2:24" x14ac:dyDescent="0.2">
      <c r="B55" s="249"/>
      <c r="C55" s="13"/>
      <c r="D55" s="154"/>
      <c r="E55" s="13"/>
      <c r="F55" s="143"/>
      <c r="G55" s="18"/>
      <c r="H55" s="12"/>
      <c r="I55" s="13"/>
      <c r="J55" s="18"/>
      <c r="K55" s="18"/>
      <c r="L55" s="12"/>
      <c r="M55" s="12"/>
      <c r="N55" s="12"/>
      <c r="O55" s="12"/>
      <c r="P55" s="12"/>
      <c r="Q55" s="12"/>
      <c r="R55" s="46"/>
      <c r="X55" s="27"/>
    </row>
    <row r="56" spans="2:24" x14ac:dyDescent="0.2">
      <c r="B56" s="249"/>
      <c r="C56" s="246" t="s">
        <v>168</v>
      </c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</row>
    <row r="57" spans="2:24" x14ac:dyDescent="0.2">
      <c r="B57" s="249"/>
      <c r="C57" s="15"/>
      <c r="D57" s="15" t="s">
        <v>69</v>
      </c>
      <c r="E57" s="132" t="s">
        <v>125</v>
      </c>
      <c r="F57" s="15" t="s">
        <v>31</v>
      </c>
      <c r="G57" s="15" t="s">
        <v>34</v>
      </c>
      <c r="H57" s="15" t="s">
        <v>124</v>
      </c>
      <c r="I57" s="132" t="s">
        <v>113</v>
      </c>
      <c r="J57" s="15" t="s">
        <v>35</v>
      </c>
      <c r="K57" s="15" t="s">
        <v>33</v>
      </c>
      <c r="L57" s="15" t="s">
        <v>121</v>
      </c>
      <c r="M57" s="15" t="s">
        <v>36</v>
      </c>
      <c r="N57" s="15" t="s">
        <v>105</v>
      </c>
      <c r="O57" s="15" t="s">
        <v>106</v>
      </c>
      <c r="P57" s="15" t="s">
        <v>89</v>
      </c>
      <c r="Q57" s="16" t="s">
        <v>32</v>
      </c>
      <c r="R57" s="16" t="s">
        <v>45</v>
      </c>
      <c r="S57" s="132" t="s">
        <v>36</v>
      </c>
      <c r="T57" s="132" t="s">
        <v>127</v>
      </c>
      <c r="X57" s="27"/>
    </row>
    <row r="58" spans="2:24" x14ac:dyDescent="0.2">
      <c r="B58" s="249"/>
      <c r="C58" s="9"/>
      <c r="D58" s="159">
        <f>COUNTA(E54:E56)</f>
        <v>0</v>
      </c>
      <c r="E58" s="129">
        <f>H58+N58</f>
        <v>0</v>
      </c>
      <c r="F58" s="147">
        <f>SUM(F54:F56)</f>
        <v>0</v>
      </c>
      <c r="G58" s="48" t="e">
        <f>AVERAGE(G54:G56)</f>
        <v>#DIV/0!</v>
      </c>
      <c r="H58" s="49">
        <f>SUM(H54:H56)</f>
        <v>0</v>
      </c>
      <c r="I58" s="129">
        <f>L58-(O58+P58)</f>
        <v>0</v>
      </c>
      <c r="J58" s="48" t="e">
        <f>AVERAGE(J54:J56)</f>
        <v>#DIV/0!</v>
      </c>
      <c r="K58" s="49">
        <f t="shared" ref="K58:Q58" si="16">SUM(K54:K56)</f>
        <v>0</v>
      </c>
      <c r="L58" s="49">
        <f t="shared" si="16"/>
        <v>0</v>
      </c>
      <c r="M58" s="49">
        <f t="shared" si="16"/>
        <v>0</v>
      </c>
      <c r="N58" s="49">
        <f t="shared" si="16"/>
        <v>0</v>
      </c>
      <c r="O58" s="49">
        <f t="shared" si="16"/>
        <v>0</v>
      </c>
      <c r="P58" s="49">
        <f t="shared" si="16"/>
        <v>0</v>
      </c>
      <c r="Q58" s="49">
        <f t="shared" si="16"/>
        <v>0</v>
      </c>
      <c r="R58" s="51" t="e">
        <f>Q58/H58</f>
        <v>#DIV/0!</v>
      </c>
      <c r="S58" s="129">
        <f>SUM(P54:Q56)</f>
        <v>0</v>
      </c>
      <c r="T58" s="129">
        <f>I58-E58</f>
        <v>0</v>
      </c>
    </row>
    <row r="59" spans="2:24" x14ac:dyDescent="0.2">
      <c r="B59" s="5" t="s">
        <v>9</v>
      </c>
      <c r="C59" s="2" t="s">
        <v>24</v>
      </c>
      <c r="D59" s="2" t="s">
        <v>95</v>
      </c>
      <c r="E59" s="2" t="s">
        <v>7</v>
      </c>
      <c r="F59" s="5" t="s">
        <v>2</v>
      </c>
      <c r="G59" s="3" t="s">
        <v>3</v>
      </c>
      <c r="H59" s="4" t="s">
        <v>1</v>
      </c>
      <c r="I59" s="2" t="s">
        <v>8</v>
      </c>
      <c r="J59" s="3" t="s">
        <v>4</v>
      </c>
      <c r="K59" s="3" t="s">
        <v>5</v>
      </c>
      <c r="L59" s="3" t="s">
        <v>123</v>
      </c>
      <c r="M59" s="4" t="s">
        <v>120</v>
      </c>
      <c r="N59" s="6" t="s">
        <v>103</v>
      </c>
      <c r="O59" s="6" t="s">
        <v>104</v>
      </c>
      <c r="P59" s="6" t="s">
        <v>89</v>
      </c>
      <c r="Q59" s="6" t="s">
        <v>11</v>
      </c>
      <c r="R59" s="6" t="s">
        <v>45</v>
      </c>
      <c r="S59" s="6" t="s">
        <v>73</v>
      </c>
      <c r="T59" s="6" t="s">
        <v>25</v>
      </c>
    </row>
    <row r="60" spans="2:24" ht="13.9" customHeight="1" x14ac:dyDescent="0.2">
      <c r="B60" s="250" t="s">
        <v>48</v>
      </c>
      <c r="C60" s="13"/>
      <c r="D60" s="154"/>
      <c r="E60" s="13"/>
      <c r="F60" s="143"/>
      <c r="G60" s="18"/>
      <c r="H60" s="12"/>
      <c r="I60" s="13"/>
      <c r="J60" s="18"/>
      <c r="K60" s="18"/>
      <c r="L60" s="12"/>
      <c r="M60" s="12"/>
      <c r="N60" s="12"/>
      <c r="O60" s="12"/>
      <c r="P60" s="12"/>
      <c r="Q60" s="128"/>
      <c r="R60" s="46"/>
    </row>
    <row r="61" spans="2:24" x14ac:dyDescent="0.2">
      <c r="B61" s="250"/>
      <c r="C61" s="13"/>
      <c r="D61" s="154"/>
      <c r="E61" s="13"/>
      <c r="F61" s="143"/>
      <c r="G61" s="18"/>
      <c r="H61" s="12"/>
      <c r="I61" s="13"/>
      <c r="J61" s="18"/>
      <c r="K61" s="18"/>
      <c r="L61" s="12"/>
      <c r="M61" s="12"/>
      <c r="N61" s="12"/>
      <c r="O61" s="12"/>
      <c r="P61" s="12"/>
      <c r="Q61" s="128"/>
      <c r="R61" s="46"/>
    </row>
    <row r="62" spans="2:24" x14ac:dyDescent="0.2">
      <c r="B62" s="250"/>
      <c r="C62" s="246" t="s">
        <v>168</v>
      </c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</row>
    <row r="63" spans="2:24" x14ac:dyDescent="0.2">
      <c r="B63" s="250"/>
      <c r="C63" s="15"/>
      <c r="D63" s="15" t="s">
        <v>69</v>
      </c>
      <c r="E63" s="132" t="s">
        <v>125</v>
      </c>
      <c r="F63" s="15" t="s">
        <v>31</v>
      </c>
      <c r="G63" s="15" t="s">
        <v>34</v>
      </c>
      <c r="H63" s="15" t="s">
        <v>124</v>
      </c>
      <c r="I63" s="132" t="s">
        <v>113</v>
      </c>
      <c r="J63" s="15" t="s">
        <v>35</v>
      </c>
      <c r="K63" s="15" t="s">
        <v>33</v>
      </c>
      <c r="L63" s="15" t="s">
        <v>121</v>
      </c>
      <c r="M63" s="15" t="s">
        <v>36</v>
      </c>
      <c r="N63" s="15" t="s">
        <v>105</v>
      </c>
      <c r="O63" s="15" t="s">
        <v>106</v>
      </c>
      <c r="P63" s="15" t="s">
        <v>89</v>
      </c>
      <c r="Q63" s="16" t="s">
        <v>32</v>
      </c>
      <c r="R63" s="16" t="s">
        <v>45</v>
      </c>
      <c r="S63" s="132" t="s">
        <v>36</v>
      </c>
      <c r="T63" s="132" t="s">
        <v>127</v>
      </c>
    </row>
    <row r="64" spans="2:24" x14ac:dyDescent="0.2">
      <c r="B64" s="250"/>
      <c r="C64" s="26"/>
      <c r="D64" s="158">
        <f>COUNTA(E60:E62)</f>
        <v>0</v>
      </c>
      <c r="E64" s="127">
        <f>H64+N64</f>
        <v>0</v>
      </c>
      <c r="F64" s="148">
        <f>SUM(F60:F62)</f>
        <v>0</v>
      </c>
      <c r="G64" s="55" t="e">
        <f>AVERAGE(G60:G62)</f>
        <v>#DIV/0!</v>
      </c>
      <c r="H64" s="56">
        <f>SUM(H60:H62)</f>
        <v>0</v>
      </c>
      <c r="I64" s="127">
        <f>L64-(O64+P64)</f>
        <v>0</v>
      </c>
      <c r="J64" s="55" t="e">
        <f>AVERAGE(J60:J62)</f>
        <v>#DIV/0!</v>
      </c>
      <c r="K64" s="56">
        <f t="shared" ref="K64:Q64" si="17">SUM(K60:K62)</f>
        <v>0</v>
      </c>
      <c r="L64" s="56">
        <f t="shared" si="17"/>
        <v>0</v>
      </c>
      <c r="M64" s="56">
        <f t="shared" si="17"/>
        <v>0</v>
      </c>
      <c r="N64" s="56">
        <f t="shared" si="17"/>
        <v>0</v>
      </c>
      <c r="O64" s="56">
        <f t="shared" si="17"/>
        <v>0</v>
      </c>
      <c r="P64" s="56">
        <f t="shared" si="17"/>
        <v>0</v>
      </c>
      <c r="Q64" s="56">
        <f t="shared" si="17"/>
        <v>0</v>
      </c>
      <c r="R64" s="130" t="e">
        <f>Q64/H64</f>
        <v>#DIV/0!</v>
      </c>
      <c r="S64" s="127">
        <f>SUM(P60:Q62)</f>
        <v>0</v>
      </c>
      <c r="T64" s="127">
        <f>I64-E64</f>
        <v>0</v>
      </c>
    </row>
    <row r="65" spans="2:20" x14ac:dyDescent="0.2">
      <c r="B65" s="114"/>
      <c r="C65" s="113"/>
      <c r="D65" s="113"/>
      <c r="E65" s="116"/>
      <c r="F65" s="117"/>
      <c r="G65" s="114"/>
      <c r="H65" s="118"/>
      <c r="I65" s="118"/>
      <c r="J65" s="116"/>
      <c r="K65" s="116"/>
      <c r="L65" s="116"/>
      <c r="M65" s="116"/>
      <c r="N65" s="116"/>
      <c r="O65" s="115"/>
      <c r="P65" s="116"/>
      <c r="Q65" s="115"/>
      <c r="R65" s="115"/>
      <c r="S65" s="115"/>
      <c r="T65" s="115"/>
    </row>
    <row r="66" spans="2:20" x14ac:dyDescent="0.2">
      <c r="T66" s="27"/>
    </row>
  </sheetData>
  <mergeCells count="12">
    <mergeCell ref="C62:T62"/>
    <mergeCell ref="C56:T56"/>
    <mergeCell ref="C50:T50"/>
    <mergeCell ref="C40:T40"/>
    <mergeCell ref="B10:B14"/>
    <mergeCell ref="B16:B20"/>
    <mergeCell ref="B22:B26"/>
    <mergeCell ref="B28:B32"/>
    <mergeCell ref="B60:B64"/>
    <mergeCell ref="B38:B46"/>
    <mergeCell ref="B48:B52"/>
    <mergeCell ref="B54:B58"/>
  </mergeCells>
  <phoneticPr fontId="17" type="noConversion"/>
  <conditionalFormatting sqref="C39">
    <cfRule type="expression" dxfId="350" priority="15">
      <formula>$T39="Programada"</formula>
    </cfRule>
    <cfRule type="expression" dxfId="349" priority="14">
      <formula>$T39="Abierta"</formula>
    </cfRule>
    <cfRule type="expression" dxfId="348" priority="16">
      <formula>$T39="Cerrada"</formula>
    </cfRule>
  </conditionalFormatting>
  <conditionalFormatting sqref="C41">
    <cfRule type="expression" dxfId="347" priority="37">
      <formula>$T41="Programada"</formula>
    </cfRule>
    <cfRule type="expression" dxfId="346" priority="38">
      <formula>$T41="Cerrada"</formula>
    </cfRule>
    <cfRule type="expression" dxfId="345" priority="36">
      <formula>$T41="Abierta"</formula>
    </cfRule>
  </conditionalFormatting>
  <conditionalFormatting sqref="C18:H18 C23:H24 C28:H30">
    <cfRule type="expression" dxfId="344" priority="413">
      <formula>$T18="Abierta"</formula>
    </cfRule>
  </conditionalFormatting>
  <conditionalFormatting sqref="C38:P38 R38:T38">
    <cfRule type="expression" dxfId="343" priority="197">
      <formula>$T38="Cerrada"</formula>
    </cfRule>
    <cfRule type="expression" dxfId="342" priority="196">
      <formula>$T38="Programada"</formula>
    </cfRule>
    <cfRule type="expression" dxfId="341" priority="195">
      <formula>$T38="Abierta"</formula>
    </cfRule>
  </conditionalFormatting>
  <conditionalFormatting sqref="C48:P48 R48:T48">
    <cfRule type="expression" dxfId="340" priority="203">
      <formula>$T48="Abierta"</formula>
    </cfRule>
    <cfRule type="expression" dxfId="339" priority="204">
      <formula>$T48="Programada"</formula>
    </cfRule>
    <cfRule type="expression" dxfId="338" priority="205">
      <formula>$T48="Cerrada"</formula>
    </cfRule>
  </conditionalFormatting>
  <conditionalFormatting sqref="C54:P55 R54:T55">
    <cfRule type="expression" dxfId="337" priority="172">
      <formula>$T54="Abierta"</formula>
    </cfRule>
    <cfRule type="expression" dxfId="336" priority="173">
      <formula>$T54="Programada"</formula>
    </cfRule>
    <cfRule type="expression" dxfId="335" priority="174">
      <formula>$T54="Cerrada"</formula>
    </cfRule>
  </conditionalFormatting>
  <conditionalFormatting sqref="C60:P61 R60:T61">
    <cfRule type="expression" dxfId="334" priority="163">
      <formula>$T60="Cerrada"</formula>
    </cfRule>
    <cfRule type="expression" dxfId="333" priority="162">
      <formula>$T60="Programada"</formula>
    </cfRule>
    <cfRule type="expression" dxfId="332" priority="161">
      <formula>$T60="Abierta"</formula>
    </cfRule>
  </conditionalFormatting>
  <conditionalFormatting sqref="C10:T10">
    <cfRule type="expression" dxfId="331" priority="3">
      <formula>$T10="Abierta"</formula>
    </cfRule>
    <cfRule type="expression" dxfId="330" priority="4">
      <formula>$T10="Programada"</formula>
    </cfRule>
    <cfRule type="expression" dxfId="329" priority="5">
      <formula>$T10="Cerrada"</formula>
    </cfRule>
  </conditionalFormatting>
  <conditionalFormatting sqref="C11:T11">
    <cfRule type="expression" dxfId="328" priority="90">
      <formula>$T11="Cerrada"</formula>
    </cfRule>
    <cfRule type="expression" dxfId="327" priority="89">
      <formula>$T11="Programada"</formula>
    </cfRule>
    <cfRule type="expression" dxfId="326" priority="88">
      <formula>$T11="Abierta"</formula>
    </cfRule>
  </conditionalFormatting>
  <conditionalFormatting sqref="C16:T16">
    <cfRule type="expression" dxfId="325" priority="269">
      <formula>$T16="Abierta"</formula>
    </cfRule>
    <cfRule type="expression" dxfId="324" priority="270">
      <formula>$T16="Programada"</formula>
    </cfRule>
    <cfRule type="expression" dxfId="323" priority="271">
      <formula>$T16="Cerrada"</formula>
    </cfRule>
  </conditionalFormatting>
  <conditionalFormatting sqref="C17:T17">
    <cfRule type="expression" dxfId="322" priority="278">
      <formula>$T17="Cerrada"</formula>
    </cfRule>
    <cfRule type="expression" dxfId="321" priority="276">
      <formula>$T17="Abierta"</formula>
    </cfRule>
    <cfRule type="expression" dxfId="320" priority="277">
      <formula>$T17="Programada"</formula>
    </cfRule>
  </conditionalFormatting>
  <conditionalFormatting sqref="C18:T18 C23:T24 C28:T30">
    <cfRule type="expression" dxfId="319" priority="414">
      <formula>$T18="Programada"</formula>
    </cfRule>
    <cfRule type="expression" dxfId="318" priority="415">
      <formula>$T18="Cerrada"</formula>
    </cfRule>
  </conditionalFormatting>
  <conditionalFormatting sqref="C22:T22">
    <cfRule type="expression" dxfId="317" priority="264">
      <formula>$T22="Cerrada"</formula>
    </cfRule>
    <cfRule type="expression" dxfId="316" priority="263">
      <formula>$T22="Programada"</formula>
    </cfRule>
    <cfRule type="expression" dxfId="315" priority="262">
      <formula>$T22="Abierta"</formula>
    </cfRule>
  </conditionalFormatting>
  <conditionalFormatting sqref="C34:T34">
    <cfRule type="expression" dxfId="314" priority="340">
      <formula>$T34="Cerrada"</formula>
    </cfRule>
    <cfRule type="expression" dxfId="313" priority="339">
      <formula>$T34="Programada"</formula>
    </cfRule>
    <cfRule type="expression" dxfId="312" priority="337">
      <formula>$T34="Abierta"</formula>
    </cfRule>
  </conditionalFormatting>
  <conditionalFormatting sqref="C42:T42">
    <cfRule type="expression" dxfId="311" priority="51">
      <formula>$T42="Abierta"</formula>
    </cfRule>
    <cfRule type="expression" dxfId="310" priority="52">
      <formula>$T42="Programada"</formula>
    </cfRule>
    <cfRule type="expression" dxfId="309" priority="53">
      <formula>$T42="Cerrada"</formula>
    </cfRule>
  </conditionalFormatting>
  <conditionalFormatting sqref="C43:T43">
    <cfRule type="expression" dxfId="308" priority="58">
      <formula>$T43="Abierta"</formula>
    </cfRule>
    <cfRule type="expression" dxfId="307" priority="59">
      <formula>$T43="Programada"</formula>
    </cfRule>
    <cfRule type="expression" dxfId="306" priority="60">
      <formula>$T43="Cerrada"</formula>
    </cfRule>
  </conditionalFormatting>
  <conditionalFormatting sqref="C44:T44">
    <cfRule type="expression" dxfId="305" priority="66">
      <formula>$T44="Programada"</formula>
    </cfRule>
    <cfRule type="expression" dxfId="304" priority="65">
      <formula>$T44="Abierta"</formula>
    </cfRule>
    <cfRule type="expression" dxfId="303" priority="67">
      <formula>$T44="Cerrada"</formula>
    </cfRule>
  </conditionalFormatting>
  <conditionalFormatting sqref="C49:T49">
    <cfRule type="expression" dxfId="302" priority="179">
      <formula>$T49="Cerrada"</formula>
    </cfRule>
    <cfRule type="expression" dxfId="301" priority="178">
      <formula>$T49="Programada"</formula>
    </cfRule>
    <cfRule type="expression" dxfId="300" priority="177">
      <formula>$T49="Abierta"</formula>
    </cfRule>
  </conditionalFormatting>
  <conditionalFormatting sqref="D39:R39">
    <cfRule type="expression" dxfId="299" priority="21">
      <formula>$T39="Abierta"</formula>
    </cfRule>
    <cfRule type="expression" dxfId="298" priority="23">
      <formula>$T39="Programada"</formula>
    </cfRule>
    <cfRule type="expression" dxfId="297" priority="24">
      <formula>$T39="Cerrada"</formula>
    </cfRule>
  </conditionalFormatting>
  <conditionalFormatting sqref="D41:R41">
    <cfRule type="expression" dxfId="296" priority="43">
      <formula>$T41="Abierta"</formula>
    </cfRule>
    <cfRule type="expression" dxfId="295" priority="45">
      <formula>$T41="Programada"</formula>
    </cfRule>
    <cfRule type="expression" dxfId="294" priority="46">
      <formula>$T41="Cerrada"</formula>
    </cfRule>
  </conditionalFormatting>
  <conditionalFormatting sqref="I18:T18">
    <cfRule type="expression" dxfId="293" priority="843">
      <formula>$T18="Abierta"</formula>
    </cfRule>
  </conditionalFormatting>
  <conditionalFormatting sqref="I23:T24">
    <cfRule type="expression" dxfId="292" priority="848">
      <formula>$T23="Abierta"</formula>
    </cfRule>
  </conditionalFormatting>
  <conditionalFormatting sqref="I28:T30">
    <cfRule type="expression" dxfId="291" priority="853">
      <formula>$T28="Abierta"</formula>
    </cfRule>
  </conditionalFormatting>
  <conditionalFormatting sqref="P4:P7">
    <cfRule type="cellIs" dxfId="290" priority="692" operator="greaterThan">
      <formula>0</formula>
    </cfRule>
    <cfRule type="cellIs" dxfId="289" priority="691" operator="lessThan">
      <formula>0</formula>
    </cfRule>
  </conditionalFormatting>
  <conditionalFormatting sqref="Q10">
    <cfRule type="cellIs" dxfId="288" priority="2" operator="greaterThan">
      <formula>0</formula>
    </cfRule>
    <cfRule type="cellIs" dxfId="287" priority="1" operator="lessThan">
      <formula>0</formula>
    </cfRule>
  </conditionalFormatting>
  <conditionalFormatting sqref="Q10:Q11">
    <cfRule type="cellIs" dxfId="286" priority="7" operator="greaterThan">
      <formula>0</formula>
    </cfRule>
    <cfRule type="cellIs" dxfId="285" priority="6" operator="lessThan">
      <formula>0</formula>
    </cfRule>
  </conditionalFormatting>
  <conditionalFormatting sqref="Q11:Q12">
    <cfRule type="cellIs" dxfId="284" priority="91" operator="lessThan">
      <formula>0</formula>
    </cfRule>
    <cfRule type="cellIs" dxfId="283" priority="92" operator="greaterThan">
      <formula>0</formula>
    </cfRule>
  </conditionalFormatting>
  <conditionalFormatting sqref="Q12">
    <cfRule type="expression" dxfId="282" priority="95">
      <formula>$T12="Abierta"</formula>
    </cfRule>
    <cfRule type="expression" dxfId="281" priority="96">
      <formula>$T12="Programada"</formula>
    </cfRule>
    <cfRule type="expression" dxfId="280" priority="97">
      <formula>$T12="Cerrada"</formula>
    </cfRule>
    <cfRule type="cellIs" dxfId="279" priority="98" operator="lessThan">
      <formula>0</formula>
    </cfRule>
    <cfRule type="cellIs" dxfId="278" priority="99" operator="greaterThan">
      <formula>0</formula>
    </cfRule>
  </conditionalFormatting>
  <conditionalFormatting sqref="Q16">
    <cfRule type="cellIs" dxfId="277" priority="268" operator="greaterThan">
      <formula>0</formula>
    </cfRule>
    <cfRule type="cellIs" dxfId="276" priority="267" operator="lessThan">
      <formula>0</formula>
    </cfRule>
  </conditionalFormatting>
  <conditionalFormatting sqref="Q16:Q17">
    <cfRule type="cellIs" dxfId="275" priority="272" operator="lessThan">
      <formula>0</formula>
    </cfRule>
    <cfRule type="cellIs" dxfId="274" priority="273" operator="greaterThan">
      <formula>0</formula>
    </cfRule>
  </conditionalFormatting>
  <conditionalFormatting sqref="Q17:Q18">
    <cfRule type="cellIs" dxfId="273" priority="279" operator="lessThan">
      <formula>0</formula>
    </cfRule>
    <cfRule type="cellIs" dxfId="272" priority="280" operator="greaterThan">
      <formula>0</formula>
    </cfRule>
  </conditionalFormatting>
  <conditionalFormatting sqref="Q22">
    <cfRule type="cellIs" dxfId="271" priority="261" operator="greaterThan">
      <formula>0</formula>
    </cfRule>
    <cfRule type="cellIs" dxfId="270" priority="260" operator="lessThan">
      <formula>0</formula>
    </cfRule>
  </conditionalFormatting>
  <conditionalFormatting sqref="Q22:Q24">
    <cfRule type="cellIs" dxfId="269" priority="266" operator="greaterThan">
      <formula>0</formula>
    </cfRule>
    <cfRule type="cellIs" dxfId="268" priority="265" operator="lessThan">
      <formula>0</formula>
    </cfRule>
  </conditionalFormatting>
  <conditionalFormatting sqref="Q28:Q30">
    <cfRule type="cellIs" dxfId="267" priority="379" operator="lessThan">
      <formula>0</formula>
    </cfRule>
    <cfRule type="cellIs" dxfId="266" priority="380" operator="greaterThan">
      <formula>0</formula>
    </cfRule>
  </conditionalFormatting>
  <conditionalFormatting sqref="Q34">
    <cfRule type="cellIs" dxfId="265" priority="333" operator="lessThan">
      <formula>0</formula>
    </cfRule>
    <cfRule type="cellIs" dxfId="264" priority="341" operator="lessThan">
      <formula>0</formula>
    </cfRule>
    <cfRule type="cellIs" dxfId="263" priority="342" operator="greaterThan">
      <formula>0</formula>
    </cfRule>
    <cfRule type="cellIs" dxfId="262" priority="334" operator="greaterThan">
      <formula>0</formula>
    </cfRule>
  </conditionalFormatting>
  <conditionalFormatting sqref="Q38">
    <cfRule type="expression" dxfId="261" priority="192">
      <formula>$S38="Abierta"</formula>
    </cfRule>
    <cfRule type="expression" dxfId="260" priority="194">
      <formula>$S38="Cerrada"</formula>
    </cfRule>
    <cfRule type="expression" dxfId="259" priority="193">
      <formula>$S38="Programada"</formula>
    </cfRule>
  </conditionalFormatting>
  <conditionalFormatting sqref="Q38:Q39">
    <cfRule type="cellIs" dxfId="258" priority="26" operator="greaterThan">
      <formula>0</formula>
    </cfRule>
    <cfRule type="cellIs" dxfId="257" priority="25" operator="lessThan">
      <formula>0</formula>
    </cfRule>
  </conditionalFormatting>
  <conditionalFormatting sqref="Q39">
    <cfRule type="cellIs" dxfId="256" priority="18" operator="greaterThan">
      <formula>0</formula>
    </cfRule>
    <cfRule type="cellIs" dxfId="255" priority="17" operator="lessThan">
      <formula>0</formula>
    </cfRule>
  </conditionalFormatting>
  <conditionalFormatting sqref="Q41">
    <cfRule type="cellIs" dxfId="254" priority="39" operator="lessThan">
      <formula>0</formula>
    </cfRule>
    <cfRule type="cellIs" dxfId="253" priority="40" operator="greaterThan">
      <formula>0</formula>
    </cfRule>
  </conditionalFormatting>
  <conditionalFormatting sqref="Q41:Q42">
    <cfRule type="cellIs" dxfId="252" priority="47" operator="lessThan">
      <formula>0</formula>
    </cfRule>
    <cfRule type="cellIs" dxfId="251" priority="48" operator="greaterThan">
      <formula>0</formula>
    </cfRule>
  </conditionalFormatting>
  <conditionalFormatting sqref="Q42:Q43">
    <cfRule type="cellIs" dxfId="250" priority="54" operator="lessThan">
      <formula>0</formula>
    </cfRule>
    <cfRule type="cellIs" dxfId="249" priority="55" operator="greaterThan">
      <formula>0</formula>
    </cfRule>
  </conditionalFormatting>
  <conditionalFormatting sqref="Q43:Q44">
    <cfRule type="cellIs" dxfId="248" priority="61" operator="lessThan">
      <formula>0</formula>
    </cfRule>
    <cfRule type="cellIs" dxfId="247" priority="62" operator="greaterThan">
      <formula>0</formula>
    </cfRule>
  </conditionalFormatting>
  <conditionalFormatting sqref="Q44">
    <cfRule type="cellIs" dxfId="246" priority="68" operator="lessThan">
      <formula>0</formula>
    </cfRule>
    <cfRule type="cellIs" dxfId="245" priority="69" operator="greaterThan">
      <formula>0</formula>
    </cfRule>
  </conditionalFormatting>
  <conditionalFormatting sqref="Q48">
    <cfRule type="expression" dxfId="244" priority="202">
      <formula>$S48="Cerrada"</formula>
    </cfRule>
    <cfRule type="expression" dxfId="243" priority="201">
      <formula>$S48="Programada"</formula>
    </cfRule>
    <cfRule type="expression" dxfId="242" priority="200">
      <formula>$S48="Abierta"</formula>
    </cfRule>
  </conditionalFormatting>
  <conditionalFormatting sqref="Q48:Q49">
    <cfRule type="cellIs" dxfId="241" priority="181" operator="greaterThan">
      <formula>0</formula>
    </cfRule>
    <cfRule type="cellIs" dxfId="240" priority="180" operator="lessThan">
      <formula>0</formula>
    </cfRule>
  </conditionalFormatting>
  <conditionalFormatting sqref="Q49">
    <cfRule type="cellIs" dxfId="239" priority="175" operator="lessThan">
      <formula>0</formula>
    </cfRule>
    <cfRule type="cellIs" dxfId="238" priority="176" operator="greaterThan">
      <formula>0</formula>
    </cfRule>
  </conditionalFormatting>
  <conditionalFormatting sqref="Q54:Q55">
    <cfRule type="expression" dxfId="237" priority="170">
      <formula>$S54="Programada"</formula>
    </cfRule>
    <cfRule type="expression" dxfId="236" priority="171">
      <formula>$S54="Cerrada"</formula>
    </cfRule>
    <cfRule type="cellIs" dxfId="235" priority="167" operator="lessThan">
      <formula>0</formula>
    </cfRule>
    <cfRule type="cellIs" dxfId="234" priority="168" operator="greaterThan">
      <formula>0</formula>
    </cfRule>
    <cfRule type="expression" dxfId="233" priority="169">
      <formula>$S54="Abierta"</formula>
    </cfRule>
  </conditionalFormatting>
  <conditionalFormatting sqref="Q60:Q61">
    <cfRule type="cellIs" dxfId="232" priority="159" operator="lessThan">
      <formula>0</formula>
    </cfRule>
    <cfRule type="expression" dxfId="231" priority="166">
      <formula>$S60="Cerrada"</formula>
    </cfRule>
    <cfRule type="expression" dxfId="230" priority="165">
      <formula>$S60="Programada"</formula>
    </cfRule>
    <cfRule type="expression" dxfId="229" priority="164">
      <formula>$S60="Abierta"</formula>
    </cfRule>
    <cfRule type="cellIs" dxfId="228" priority="160" operator="greaterThan">
      <formula>0</formula>
    </cfRule>
  </conditionalFormatting>
  <conditionalFormatting sqref="S39:T39">
    <cfRule type="expression" dxfId="227" priority="10">
      <formula>$T39="Cerrada"</formula>
    </cfRule>
    <cfRule type="expression" dxfId="226" priority="9">
      <formula>$T39="Programada"</formula>
    </cfRule>
    <cfRule type="expression" dxfId="225" priority="8">
      <formula>$T39="Abierta"</formula>
    </cfRule>
  </conditionalFormatting>
  <conditionalFormatting sqref="S41:T41">
    <cfRule type="expression" dxfId="224" priority="35">
      <formula>$T41="Abierta"</formula>
    </cfRule>
    <cfRule type="expression" dxfId="223" priority="34">
      <formula>$T41="Cerrada"</formula>
    </cfRule>
    <cfRule type="expression" dxfId="222" priority="33">
      <formula>$T41="Programada"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B3D180-81FA-46D1-8E44-B1126660146B}">
          <x14:formula1>
            <xm:f>Listas!$B$4:$B$6</xm:f>
          </x14:formula1>
          <xm:sqref>T28:T30 T16:T18 T38:T39 T22:T24 T34 T54:T55 T48:T49 T60:T61 T10:T11</xm:sqref>
        </x14:dataValidation>
        <x14:dataValidation type="list" allowBlank="1" showInputMessage="1" showErrorMessage="1" xr:uid="{6E6BE17D-293D-4A07-B4DB-9E20568D39B9}">
          <x14:formula1>
            <xm:f>Listas!$E$4:$E$15</xm:f>
          </x14:formula1>
          <xm:sqref>S16:S18 S28:S30 S38:S39 S22:S24 S34 S54:S55 S48:S49 S60:S61 S10:S11</xm:sqref>
        </x14:dataValidation>
        <x14:dataValidation type="list" allowBlank="1" showInputMessage="1" showErrorMessage="1" xr:uid="{2BCCC4F8-1F70-4147-89A8-B4AA2E3667D1}">
          <x14:formula1>
            <xm:f>Listas!$C$4:$C$10</xm:f>
          </x14:formula1>
          <xm:sqref>C10:C11 C28:C30 C22:C24 C34 C16:C18 C54:C55 C48:C49 C60:C61 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D8D0-060E-4921-B066-F61DEA6EC7BE}">
  <dimension ref="B2:S23"/>
  <sheetViews>
    <sheetView zoomScaleNormal="100" workbookViewId="0">
      <selection activeCell="S25" sqref="S25"/>
    </sheetView>
  </sheetViews>
  <sheetFormatPr baseColWidth="10" defaultColWidth="3.85546875" defaultRowHeight="12.75" x14ac:dyDescent="0.2"/>
  <cols>
    <col min="1" max="1" width="3.85546875" style="133"/>
    <col min="2" max="2" width="5.140625" style="133" bestFit="1" customWidth="1"/>
    <col min="3" max="3" width="12.7109375" style="133" bestFit="1" customWidth="1"/>
    <col min="4" max="4" width="11.28515625" style="133" bestFit="1" customWidth="1"/>
    <col min="5" max="5" width="7.7109375" style="133" bestFit="1" customWidth="1"/>
    <col min="6" max="6" width="9.28515625" style="133" bestFit="1" customWidth="1"/>
    <col min="7" max="7" width="10.28515625" style="133" bestFit="1" customWidth="1"/>
    <col min="8" max="8" width="10.5703125" style="133" bestFit="1" customWidth="1"/>
    <col min="9" max="9" width="8.42578125" style="133" bestFit="1" customWidth="1"/>
    <col min="10" max="10" width="10" style="133" bestFit="1" customWidth="1"/>
    <col min="11" max="11" width="10.28515625" style="133" bestFit="1" customWidth="1"/>
    <col min="12" max="12" width="9.28515625" style="133" bestFit="1" customWidth="1"/>
    <col min="13" max="13" width="10.140625" style="133" bestFit="1" customWidth="1"/>
    <col min="14" max="14" width="11.7109375" style="133" bestFit="1" customWidth="1"/>
    <col min="15" max="15" width="6.85546875" style="133" bestFit="1" customWidth="1"/>
    <col min="16" max="16" width="9.28515625" style="133" bestFit="1" customWidth="1"/>
    <col min="17" max="17" width="7.7109375" style="133" bestFit="1" customWidth="1"/>
    <col min="18" max="19" width="9.28515625" style="133" bestFit="1" customWidth="1"/>
    <col min="20" max="16384" width="3.85546875" style="133"/>
  </cols>
  <sheetData>
    <row r="2" spans="2:19" x14ac:dyDescent="0.2">
      <c r="B2" s="155"/>
      <c r="C2" s="8" t="s">
        <v>107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</row>
    <row r="3" spans="2:19" x14ac:dyDescent="0.2">
      <c r="B3" s="2"/>
      <c r="C3" s="2" t="s">
        <v>95</v>
      </c>
      <c r="D3" s="2" t="s">
        <v>7</v>
      </c>
      <c r="E3" s="5" t="s">
        <v>2</v>
      </c>
      <c r="F3" s="3" t="s">
        <v>3</v>
      </c>
      <c r="G3" s="4" t="s">
        <v>122</v>
      </c>
      <c r="H3" s="2" t="s">
        <v>8</v>
      </c>
      <c r="I3" s="3" t="s">
        <v>4</v>
      </c>
      <c r="J3" s="3" t="s">
        <v>5</v>
      </c>
      <c r="K3" s="3" t="s">
        <v>123</v>
      </c>
      <c r="L3" s="4" t="s">
        <v>120</v>
      </c>
      <c r="M3" s="6" t="s">
        <v>103</v>
      </c>
      <c r="N3" s="6" t="s">
        <v>104</v>
      </c>
      <c r="O3" s="6" t="s">
        <v>89</v>
      </c>
      <c r="P3" s="6" t="s">
        <v>11</v>
      </c>
      <c r="Q3" s="6" t="s">
        <v>45</v>
      </c>
      <c r="R3" s="6" t="s">
        <v>73</v>
      </c>
      <c r="S3" s="6" t="s">
        <v>75</v>
      </c>
    </row>
    <row r="4" spans="2:19" x14ac:dyDescent="0.2">
      <c r="B4" s="14" t="s">
        <v>26</v>
      </c>
      <c r="C4" s="14">
        <v>1</v>
      </c>
      <c r="D4" s="13">
        <v>45825</v>
      </c>
      <c r="E4" s="143">
        <v>730</v>
      </c>
      <c r="F4" s="18">
        <v>6.7949999999999999</v>
      </c>
      <c r="G4" s="12">
        <f>F4*E4</f>
        <v>4960.3500000000004</v>
      </c>
      <c r="H4" s="13">
        <v>24.6</v>
      </c>
      <c r="I4" s="18">
        <v>7.117</v>
      </c>
      <c r="J4" s="18">
        <f>I4-F4</f>
        <v>0.32200000000000006</v>
      </c>
      <c r="K4" s="12">
        <f>E4*I4</f>
        <v>5195.41</v>
      </c>
      <c r="L4" s="12">
        <f>E4*J4</f>
        <v>235.06000000000006</v>
      </c>
      <c r="M4" s="12" cm="1">
        <f t="array" ref="M4">_xlfn.IFS(D4="",0,G4&lt;4166.67,5,G4&gt;4166.67,G4*0.12%)</f>
        <v>5.95242</v>
      </c>
      <c r="N4" s="12" cm="1">
        <f t="array" ref="N4">_xlfn.IFS(H4="",0,K4&lt;4166.67,5,K4&gt;4166.67,K4*0.12%)</f>
        <v>6.2344919999999995</v>
      </c>
      <c r="O4" s="12">
        <f>G4*0.002</f>
        <v>9.9207000000000001</v>
      </c>
      <c r="P4" s="128">
        <f>L4-(M4+N4+O4)</f>
        <v>212.95238800000007</v>
      </c>
      <c r="Q4" s="214">
        <f>P4/G4</f>
        <v>4.2930919793966162E-2</v>
      </c>
      <c r="R4" s="215" t="s">
        <v>17</v>
      </c>
      <c r="S4" s="215">
        <v>2025</v>
      </c>
    </row>
    <row r="5" spans="2:19" x14ac:dyDescent="0.2">
      <c r="B5" s="14"/>
      <c r="C5" s="14"/>
      <c r="D5" s="13"/>
      <c r="E5" s="143"/>
      <c r="F5" s="18"/>
      <c r="G5" s="12"/>
      <c r="H5" s="13"/>
      <c r="I5" s="18"/>
      <c r="J5" s="18"/>
      <c r="K5" s="12"/>
      <c r="L5" s="12"/>
      <c r="M5" s="12"/>
      <c r="N5" s="12"/>
      <c r="O5" s="12"/>
      <c r="P5" s="12"/>
      <c r="Q5" s="152"/>
      <c r="R5" s="151"/>
      <c r="S5" s="151"/>
    </row>
    <row r="6" spans="2:19" x14ac:dyDescent="0.2">
      <c r="B6" s="2"/>
      <c r="C6" s="2" t="s">
        <v>69</v>
      </c>
      <c r="D6" s="2" t="s">
        <v>125</v>
      </c>
      <c r="E6" s="2" t="s">
        <v>31</v>
      </c>
      <c r="F6" s="2" t="s">
        <v>34</v>
      </c>
      <c r="G6" s="2" t="s">
        <v>124</v>
      </c>
      <c r="H6" s="2" t="s">
        <v>113</v>
      </c>
      <c r="I6" s="2" t="s">
        <v>35</v>
      </c>
      <c r="J6" s="2" t="s">
        <v>33</v>
      </c>
      <c r="K6" s="2" t="s">
        <v>121</v>
      </c>
      <c r="L6" s="2" t="s">
        <v>36</v>
      </c>
      <c r="M6" s="2" t="s">
        <v>105</v>
      </c>
      <c r="N6" s="2" t="s">
        <v>106</v>
      </c>
      <c r="O6" s="2" t="s">
        <v>89</v>
      </c>
      <c r="P6" s="2" t="s">
        <v>32</v>
      </c>
      <c r="Q6" s="2" t="s">
        <v>45</v>
      </c>
      <c r="R6" s="2" t="s">
        <v>36</v>
      </c>
      <c r="S6" s="2" t="s">
        <v>127</v>
      </c>
    </row>
    <row r="7" spans="2:19" x14ac:dyDescent="0.2">
      <c r="B7" s="204"/>
      <c r="C7" s="204">
        <f>COUNTA(D4:D5)</f>
        <v>1</v>
      </c>
      <c r="D7" s="205">
        <f>G7+M7</f>
        <v>4966.30242</v>
      </c>
      <c r="E7" s="206">
        <f>SUM(E4:E5)</f>
        <v>730</v>
      </c>
      <c r="F7" s="207">
        <f>AVERAGE(F4:F5)</f>
        <v>6.7949999999999999</v>
      </c>
      <c r="G7" s="205">
        <f>SUM(G4:G5)</f>
        <v>4960.3500000000004</v>
      </c>
      <c r="H7" s="205">
        <f>K7-(N7+O7)</f>
        <v>5179.2548079999997</v>
      </c>
      <c r="I7" s="207">
        <f>AVERAGE(I4:I5)</f>
        <v>7.117</v>
      </c>
      <c r="J7" s="207">
        <f t="shared" ref="J7:P7" si="0">SUM(J4:J5)</f>
        <v>0.32200000000000006</v>
      </c>
      <c r="K7" s="205">
        <f t="shared" si="0"/>
        <v>5195.41</v>
      </c>
      <c r="L7" s="205">
        <f t="shared" si="0"/>
        <v>235.06000000000006</v>
      </c>
      <c r="M7" s="205">
        <f t="shared" si="0"/>
        <v>5.95242</v>
      </c>
      <c r="N7" s="205">
        <f t="shared" si="0"/>
        <v>6.2344919999999995</v>
      </c>
      <c r="O7" s="205">
        <f t="shared" si="0"/>
        <v>9.9207000000000001</v>
      </c>
      <c r="P7" s="205">
        <f t="shared" si="0"/>
        <v>212.95238800000007</v>
      </c>
      <c r="Q7" s="208">
        <f>P7/G7</f>
        <v>4.2930919793966162E-2</v>
      </c>
      <c r="R7" s="205">
        <f>SUM(O4:P5)</f>
        <v>222.87308800000008</v>
      </c>
      <c r="S7" s="205">
        <f>H7-D7</f>
        <v>212.9523879999997</v>
      </c>
    </row>
    <row r="9" spans="2:19" x14ac:dyDescent="0.2">
      <c r="B9" s="155"/>
      <c r="C9" s="8" t="s">
        <v>108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</row>
    <row r="10" spans="2:19" x14ac:dyDescent="0.2">
      <c r="B10" s="2"/>
      <c r="C10" s="2" t="s">
        <v>95</v>
      </c>
      <c r="D10" s="2" t="s">
        <v>7</v>
      </c>
      <c r="E10" s="5" t="s">
        <v>2</v>
      </c>
      <c r="F10" s="3" t="s">
        <v>3</v>
      </c>
      <c r="G10" s="4" t="s">
        <v>122</v>
      </c>
      <c r="H10" s="2" t="s">
        <v>8</v>
      </c>
      <c r="I10" s="3" t="s">
        <v>4</v>
      </c>
      <c r="J10" s="3" t="s">
        <v>5</v>
      </c>
      <c r="K10" s="3" t="s">
        <v>123</v>
      </c>
      <c r="L10" s="4" t="s">
        <v>120</v>
      </c>
      <c r="M10" s="6" t="s">
        <v>103</v>
      </c>
      <c r="N10" s="6" t="s">
        <v>104</v>
      </c>
      <c r="O10" s="6" t="s">
        <v>89</v>
      </c>
      <c r="P10" s="6" t="s">
        <v>11</v>
      </c>
      <c r="Q10" s="6" t="s">
        <v>45</v>
      </c>
      <c r="R10" s="6" t="s">
        <v>73</v>
      </c>
      <c r="S10" s="6" t="s">
        <v>75</v>
      </c>
    </row>
    <row r="11" spans="2:19" ht="13.9" customHeight="1" x14ac:dyDescent="0.2">
      <c r="B11" s="14" t="s">
        <v>26</v>
      </c>
      <c r="C11" s="154" t="s">
        <v>165</v>
      </c>
      <c r="D11" s="13">
        <v>45917</v>
      </c>
      <c r="E11" s="143">
        <v>1000</v>
      </c>
      <c r="F11" s="18">
        <v>3.16</v>
      </c>
      <c r="G11" s="12">
        <f>F11*E11</f>
        <v>3160</v>
      </c>
      <c r="H11" s="13">
        <v>45919</v>
      </c>
      <c r="I11" s="18">
        <v>3.28</v>
      </c>
      <c r="J11" s="18">
        <f>I11-F11</f>
        <v>0.11999999999999966</v>
      </c>
      <c r="K11" s="12">
        <f>E11*I11</f>
        <v>3280</v>
      </c>
      <c r="L11" s="12">
        <f>E11*J11</f>
        <v>119.99999999999966</v>
      </c>
      <c r="M11" s="12">
        <v>6.07</v>
      </c>
      <c r="N11" s="12" cm="1">
        <f t="array" ref="N11">_xlfn.IFS(H11="",0,K11&lt;4166.67,5,K11&gt;4166.67,K11*0.12%)</f>
        <v>5</v>
      </c>
      <c r="O11" s="12">
        <v>10.11</v>
      </c>
      <c r="P11" s="12">
        <f t="shared" ref="P11:P13" si="1">L11-(M11+N11+O11)</f>
        <v>98.819999999999652</v>
      </c>
      <c r="Q11" s="214">
        <f>P11/G11</f>
        <v>3.1272151898734064E-2</v>
      </c>
      <c r="R11" s="215" t="s">
        <v>20</v>
      </c>
      <c r="S11" s="215">
        <v>2025</v>
      </c>
    </row>
    <row r="12" spans="2:19" ht="13.9" customHeight="1" x14ac:dyDescent="0.2">
      <c r="B12" s="14" t="s">
        <v>26</v>
      </c>
      <c r="C12" s="154" t="s">
        <v>164</v>
      </c>
      <c r="D12" s="13">
        <v>45917</v>
      </c>
      <c r="E12" s="143">
        <v>600</v>
      </c>
      <c r="F12" s="18">
        <v>3.16</v>
      </c>
      <c r="G12" s="12">
        <f>F12*E12</f>
        <v>1896</v>
      </c>
      <c r="H12" s="13">
        <v>45919</v>
      </c>
      <c r="I12" s="18">
        <v>3.2829999999999999</v>
      </c>
      <c r="J12" s="18">
        <f>I12-F12</f>
        <v>0.12299999999999978</v>
      </c>
      <c r="K12" s="12">
        <f>E12*I12</f>
        <v>1969.8</v>
      </c>
      <c r="L12" s="12">
        <f>E12*J12</f>
        <v>73.799999999999869</v>
      </c>
      <c r="M12" s="12"/>
      <c r="N12" s="12" cm="1">
        <f t="array" ref="N12">_xlfn.IFS(H12="",0,K12&lt;4166.67,5,K12&gt;4166.67,K12*0.12%)</f>
        <v>5</v>
      </c>
      <c r="O12" s="12"/>
      <c r="P12" s="12">
        <f t="shared" si="1"/>
        <v>68.799999999999869</v>
      </c>
      <c r="Q12" s="214">
        <f>P12/G12</f>
        <v>3.6286919831223563E-2</v>
      </c>
      <c r="R12" s="215" t="s">
        <v>20</v>
      </c>
      <c r="S12" s="215">
        <v>2025</v>
      </c>
    </row>
    <row r="13" spans="2:19" ht="13.9" customHeight="1" x14ac:dyDescent="0.2">
      <c r="B13" s="14" t="s">
        <v>26</v>
      </c>
      <c r="C13" s="154">
        <v>2</v>
      </c>
      <c r="D13" s="13">
        <v>45947</v>
      </c>
      <c r="E13" s="143">
        <v>1700</v>
      </c>
      <c r="F13" s="18">
        <v>2.97</v>
      </c>
      <c r="G13" s="12">
        <f>F13*E13</f>
        <v>5049</v>
      </c>
      <c r="H13" s="13">
        <v>45965</v>
      </c>
      <c r="I13" s="18">
        <v>3.3</v>
      </c>
      <c r="J13" s="18">
        <f>I13-F13</f>
        <v>0.32999999999999963</v>
      </c>
      <c r="K13" s="12">
        <f>E13*I13</f>
        <v>5610</v>
      </c>
      <c r="L13" s="12">
        <f>E13*J13</f>
        <v>560.99999999999932</v>
      </c>
      <c r="M13" s="12" cm="1">
        <f t="array" ref="M13">_xlfn.IFS(D13="",0,G13&lt;4166.67,5,G13&gt;4166.67,G13*0.12%)</f>
        <v>6.0587999999999997</v>
      </c>
      <c r="N13" s="12" cm="1">
        <f t="array" ref="N13">_xlfn.IFS(H13="",0,K13&lt;4166.67,5,K13&gt;4166.67,K13*0.12%)</f>
        <v>6.7319999999999993</v>
      </c>
      <c r="O13" s="12">
        <f t="shared" ref="O13" si="2">G13*0.002</f>
        <v>10.098000000000001</v>
      </c>
      <c r="P13" s="12">
        <f t="shared" si="1"/>
        <v>538.11119999999937</v>
      </c>
      <c r="Q13" s="214">
        <f>P13/G13</f>
        <v>0.10657777777777765</v>
      </c>
      <c r="R13" s="215" t="s">
        <v>22</v>
      </c>
      <c r="S13" s="215">
        <v>2025</v>
      </c>
    </row>
    <row r="14" spans="2:19" ht="13.9" customHeight="1" x14ac:dyDescent="0.2">
      <c r="B14" s="14"/>
      <c r="C14" s="14"/>
      <c r="D14" s="13"/>
      <c r="E14" s="143"/>
      <c r="F14" s="18"/>
      <c r="G14" s="12"/>
      <c r="H14" s="13"/>
      <c r="I14" s="18"/>
      <c r="J14" s="18"/>
      <c r="K14" s="12"/>
      <c r="L14" s="12"/>
      <c r="M14" s="12"/>
      <c r="N14" s="12"/>
      <c r="O14" s="12"/>
      <c r="P14" s="12"/>
      <c r="Q14" s="152"/>
      <c r="R14" s="151"/>
      <c r="S14" s="151"/>
    </row>
    <row r="15" spans="2:19" x14ac:dyDescent="0.2">
      <c r="B15" s="2"/>
      <c r="C15" s="2" t="s">
        <v>69</v>
      </c>
      <c r="D15" s="2" t="s">
        <v>125</v>
      </c>
      <c r="E15" s="2" t="s">
        <v>31</v>
      </c>
      <c r="F15" s="2" t="s">
        <v>34</v>
      </c>
      <c r="G15" s="2" t="s">
        <v>124</v>
      </c>
      <c r="H15" s="2" t="s">
        <v>113</v>
      </c>
      <c r="I15" s="2" t="s">
        <v>35</v>
      </c>
      <c r="J15" s="2" t="s">
        <v>33</v>
      </c>
      <c r="K15" s="2" t="s">
        <v>121</v>
      </c>
      <c r="L15" s="2" t="s">
        <v>36</v>
      </c>
      <c r="M15" s="2" t="s">
        <v>105</v>
      </c>
      <c r="N15" s="2" t="s">
        <v>106</v>
      </c>
      <c r="O15" s="2" t="s">
        <v>89</v>
      </c>
      <c r="P15" s="2" t="s">
        <v>32</v>
      </c>
      <c r="Q15" s="2" t="s">
        <v>45</v>
      </c>
      <c r="R15" s="2" t="s">
        <v>36</v>
      </c>
      <c r="S15" s="2" t="s">
        <v>127</v>
      </c>
    </row>
    <row r="16" spans="2:19" x14ac:dyDescent="0.2">
      <c r="B16" s="153"/>
      <c r="C16" s="153">
        <f>COUNTA(D11:D14)</f>
        <v>3</v>
      </c>
      <c r="D16" s="17">
        <f>G16+M16</f>
        <v>10117.1288</v>
      </c>
      <c r="E16" s="150">
        <f>SUM(E11:E14)</f>
        <v>3300</v>
      </c>
      <c r="F16" s="108">
        <f>AVERAGE(F11:F14)</f>
        <v>3.0966666666666671</v>
      </c>
      <c r="G16" s="17">
        <f>SUM(G11:G14)</f>
        <v>10105</v>
      </c>
      <c r="H16" s="17">
        <f>K16-(N16+O16)</f>
        <v>10822.859999999999</v>
      </c>
      <c r="I16" s="108">
        <f>AVERAGE(I11:I14)</f>
        <v>3.2876666666666665</v>
      </c>
      <c r="J16" s="108">
        <f t="shared" ref="J16:P16" si="3">SUM(J11:J14)</f>
        <v>0.57299999999999907</v>
      </c>
      <c r="K16" s="17">
        <f t="shared" si="3"/>
        <v>10859.8</v>
      </c>
      <c r="L16" s="17">
        <f t="shared" si="3"/>
        <v>754.79999999999882</v>
      </c>
      <c r="M16" s="17">
        <f t="shared" si="3"/>
        <v>12.1288</v>
      </c>
      <c r="N16" s="17">
        <f t="shared" si="3"/>
        <v>16.731999999999999</v>
      </c>
      <c r="O16" s="17">
        <f t="shared" si="3"/>
        <v>20.207999999999998</v>
      </c>
      <c r="P16" s="17">
        <f t="shared" si="3"/>
        <v>705.73119999999892</v>
      </c>
      <c r="Q16" s="53">
        <f>P16/G16</f>
        <v>6.9839802078179011E-2</v>
      </c>
      <c r="R16" s="17">
        <f>SUM(O11:P14)</f>
        <v>725.93919999999889</v>
      </c>
      <c r="S16" s="17">
        <f>H16-D16</f>
        <v>705.73119999999835</v>
      </c>
    </row>
    <row r="18" spans="2:19" x14ac:dyDescent="0.2">
      <c r="B18" s="155"/>
      <c r="C18" s="8" t="s">
        <v>161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</row>
    <row r="19" spans="2:19" x14ac:dyDescent="0.2">
      <c r="B19" s="2"/>
      <c r="C19" s="2" t="s">
        <v>95</v>
      </c>
      <c r="D19" s="2" t="s">
        <v>7</v>
      </c>
      <c r="E19" s="5" t="s">
        <v>2</v>
      </c>
      <c r="F19" s="3" t="s">
        <v>3</v>
      </c>
      <c r="G19" s="4" t="s">
        <v>122</v>
      </c>
      <c r="H19" s="2" t="s">
        <v>8</v>
      </c>
      <c r="I19" s="3" t="s">
        <v>4</v>
      </c>
      <c r="J19" s="3" t="s">
        <v>5</v>
      </c>
      <c r="K19" s="3" t="s">
        <v>123</v>
      </c>
      <c r="L19" s="4" t="s">
        <v>120</v>
      </c>
      <c r="M19" s="6" t="s">
        <v>103</v>
      </c>
      <c r="N19" s="6" t="s">
        <v>104</v>
      </c>
      <c r="O19" s="6" t="s">
        <v>89</v>
      </c>
      <c r="P19" s="6" t="s">
        <v>11</v>
      </c>
      <c r="Q19" s="6" t="s">
        <v>45</v>
      </c>
      <c r="R19" s="6" t="s">
        <v>73</v>
      </c>
      <c r="S19" s="6" t="s">
        <v>75</v>
      </c>
    </row>
    <row r="20" spans="2:19" ht="13.9" customHeight="1" x14ac:dyDescent="0.2">
      <c r="B20" s="14" t="s">
        <v>26</v>
      </c>
      <c r="C20" s="154">
        <v>1</v>
      </c>
      <c r="D20" s="13">
        <v>45965</v>
      </c>
      <c r="E20" s="143">
        <v>1500</v>
      </c>
      <c r="F20" s="18">
        <v>3.7549999999999999</v>
      </c>
      <c r="G20" s="12">
        <f>F20*E20</f>
        <v>5632.5</v>
      </c>
      <c r="H20" s="13">
        <v>46119</v>
      </c>
      <c r="I20" s="18">
        <v>3.9</v>
      </c>
      <c r="J20" s="18">
        <f>I20-F20</f>
        <v>0.14500000000000002</v>
      </c>
      <c r="K20" s="12">
        <f>E20*I20</f>
        <v>5850</v>
      </c>
      <c r="L20" s="12">
        <f>E20*J20</f>
        <v>217.50000000000003</v>
      </c>
      <c r="M20" s="12" cm="1">
        <f t="array" ref="M20">_xlfn.IFS(D20="",0,G20&lt;4166.67,5,G20&gt;4166.67,G20*0.12%)</f>
        <v>6.7589999999999995</v>
      </c>
      <c r="N20" s="12" cm="1">
        <f t="array" ref="N20">_xlfn.IFS(H20="",0,K20&lt;4166.67,5,K20&gt;4166.67,K20*0.12%)</f>
        <v>7.02</v>
      </c>
      <c r="O20" s="12">
        <f t="shared" ref="O20" si="4">G20*0.002</f>
        <v>11.265000000000001</v>
      </c>
      <c r="P20" s="12">
        <f t="shared" ref="P20" si="5">L20-(M20+N20+O20)</f>
        <v>192.45600000000002</v>
      </c>
      <c r="Q20" s="214">
        <f>P20/G20</f>
        <v>3.4168841544607191E-2</v>
      </c>
      <c r="R20" s="25" t="s">
        <v>15</v>
      </c>
      <c r="S20" s="215">
        <v>2026</v>
      </c>
    </row>
    <row r="21" spans="2:19" ht="13.9" customHeight="1" x14ac:dyDescent="0.2">
      <c r="B21" s="14"/>
      <c r="C21" s="14"/>
      <c r="D21" s="13"/>
      <c r="E21" s="143"/>
      <c r="F21" s="18"/>
      <c r="G21" s="12"/>
      <c r="H21" s="13"/>
      <c r="I21" s="18"/>
      <c r="J21" s="18"/>
      <c r="K21" s="12"/>
      <c r="L21" s="12"/>
      <c r="M21" s="12"/>
      <c r="N21" s="12"/>
      <c r="O21" s="12"/>
      <c r="P21" s="12"/>
      <c r="Q21" s="152"/>
      <c r="R21" s="151"/>
      <c r="S21" s="151"/>
    </row>
    <row r="22" spans="2:19" x14ac:dyDescent="0.2">
      <c r="B22" s="2"/>
      <c r="C22" s="2" t="s">
        <v>69</v>
      </c>
      <c r="D22" s="2" t="s">
        <v>125</v>
      </c>
      <c r="E22" s="2" t="s">
        <v>31</v>
      </c>
      <c r="F22" s="2" t="s">
        <v>34</v>
      </c>
      <c r="G22" s="2" t="s">
        <v>124</v>
      </c>
      <c r="H22" s="2" t="s">
        <v>113</v>
      </c>
      <c r="I22" s="2" t="s">
        <v>35</v>
      </c>
      <c r="J22" s="2" t="s">
        <v>33</v>
      </c>
      <c r="K22" s="2" t="s">
        <v>121</v>
      </c>
      <c r="L22" s="2" t="s">
        <v>36</v>
      </c>
      <c r="M22" s="2" t="s">
        <v>105</v>
      </c>
      <c r="N22" s="2" t="s">
        <v>106</v>
      </c>
      <c r="O22" s="2" t="s">
        <v>89</v>
      </c>
      <c r="P22" s="2" t="s">
        <v>32</v>
      </c>
      <c r="Q22" s="2" t="s">
        <v>45</v>
      </c>
      <c r="R22" s="2" t="s">
        <v>36</v>
      </c>
      <c r="S22" s="2" t="s">
        <v>127</v>
      </c>
    </row>
    <row r="23" spans="2:19" x14ac:dyDescent="0.2">
      <c r="B23" s="153"/>
      <c r="C23" s="153">
        <f>COUNTA(D20:D21)</f>
        <v>1</v>
      </c>
      <c r="D23" s="17">
        <f>G23+M23</f>
        <v>5639.259</v>
      </c>
      <c r="E23" s="150">
        <f>SUM(E20:E21)</f>
        <v>1500</v>
      </c>
      <c r="F23" s="108">
        <f>AVERAGE(F20:F21)</f>
        <v>3.7549999999999999</v>
      </c>
      <c r="G23" s="17">
        <f>SUM(G20:G21)</f>
        <v>5632.5</v>
      </c>
      <c r="H23" s="17">
        <f>K23-(N23+O23)</f>
        <v>5831.7150000000001</v>
      </c>
      <c r="I23" s="108">
        <f>AVERAGE(I20:I21)</f>
        <v>3.9</v>
      </c>
      <c r="J23" s="108">
        <f t="shared" ref="J23:P23" si="6">SUM(J20:J21)</f>
        <v>0.14500000000000002</v>
      </c>
      <c r="K23" s="17">
        <f t="shared" si="6"/>
        <v>5850</v>
      </c>
      <c r="L23" s="17">
        <f t="shared" si="6"/>
        <v>217.50000000000003</v>
      </c>
      <c r="M23" s="17">
        <f t="shared" si="6"/>
        <v>6.7589999999999995</v>
      </c>
      <c r="N23" s="17">
        <f t="shared" si="6"/>
        <v>7.02</v>
      </c>
      <c r="O23" s="17">
        <f t="shared" si="6"/>
        <v>11.265000000000001</v>
      </c>
      <c r="P23" s="17">
        <f t="shared" si="6"/>
        <v>192.45600000000002</v>
      </c>
      <c r="Q23" s="53">
        <f>P23/G23</f>
        <v>3.4168841544607191E-2</v>
      </c>
      <c r="R23" s="17">
        <f>SUM(O20:P21)</f>
        <v>203.721</v>
      </c>
      <c r="S23" s="17">
        <f>H23-D23</f>
        <v>192.45600000000013</v>
      </c>
    </row>
  </sheetData>
  <phoneticPr fontId="17" type="noConversion"/>
  <conditionalFormatting sqref="B4">
    <cfRule type="cellIs" dxfId="221" priority="73" operator="equal">
      <formula>"Cta-4"</formula>
    </cfRule>
    <cfRule type="cellIs" dxfId="220" priority="74" operator="equal">
      <formula>"Cta-3"</formula>
    </cfRule>
    <cfRule type="expression" dxfId="219" priority="77">
      <formula>#REF!="Abierta"</formula>
    </cfRule>
    <cfRule type="cellIs" dxfId="218" priority="76" operator="equal">
      <formula>"Cta-1"</formula>
    </cfRule>
    <cfRule type="expression" dxfId="217" priority="78">
      <formula>#REF!="Programada"</formula>
    </cfRule>
    <cfRule type="expression" dxfId="216" priority="79">
      <formula>#REF!="Cerrada"</formula>
    </cfRule>
    <cfRule type="cellIs" dxfId="215" priority="75" operator="equal">
      <formula>"Cta-2"</formula>
    </cfRule>
  </conditionalFormatting>
  <conditionalFormatting sqref="B4:B5">
    <cfRule type="expression" dxfId="214" priority="86">
      <formula>#REF!="Abierta"</formula>
    </cfRule>
    <cfRule type="cellIs" dxfId="213" priority="82" operator="equal">
      <formula>"Cta-2"</formula>
    </cfRule>
    <cfRule type="cellIs" dxfId="212" priority="83" operator="equal">
      <formula>"Cta-1"</formula>
    </cfRule>
    <cfRule type="cellIs" dxfId="211" priority="80" operator="equal">
      <formula>"Cta-4"</formula>
    </cfRule>
    <cfRule type="expression" dxfId="210" priority="88">
      <formula>#REF!="Cerrada"</formula>
    </cfRule>
    <cfRule type="cellIs" dxfId="209" priority="81" operator="equal">
      <formula>"Cta-3"</formula>
    </cfRule>
    <cfRule type="expression" dxfId="208" priority="87">
      <formula>#REF!="Programada"</formula>
    </cfRule>
  </conditionalFormatting>
  <conditionalFormatting sqref="B11:B14">
    <cfRule type="cellIs" dxfId="207" priority="41" operator="equal">
      <formula>"Cta-3"</formula>
    </cfRule>
    <cfRule type="cellIs" dxfId="206" priority="42" operator="equal">
      <formula>"Cta-2"</formula>
    </cfRule>
    <cfRule type="cellIs" dxfId="205" priority="40" operator="equal">
      <formula>"Cta-4"</formula>
    </cfRule>
    <cfRule type="cellIs" dxfId="204" priority="43" operator="equal">
      <formula>"Cta-1"</formula>
    </cfRule>
    <cfRule type="expression" dxfId="203" priority="44">
      <formula>#REF!="Abierta"</formula>
    </cfRule>
    <cfRule type="expression" dxfId="202" priority="45">
      <formula>#REF!="Programada"</formula>
    </cfRule>
    <cfRule type="expression" dxfId="201" priority="46">
      <formula>#REF!="Cerrada"</formula>
    </cfRule>
  </conditionalFormatting>
  <conditionalFormatting sqref="B20:B21">
    <cfRule type="expression" dxfId="200" priority="175">
      <formula>#REF!="Abierta"</formula>
    </cfRule>
    <cfRule type="cellIs" dxfId="199" priority="174" operator="equal">
      <formula>"Cta-1"</formula>
    </cfRule>
    <cfRule type="cellIs" dxfId="198" priority="173" operator="equal">
      <formula>"Cta-2"</formula>
    </cfRule>
    <cfRule type="cellIs" dxfId="197" priority="172" operator="equal">
      <formula>"Cta-3"</formula>
    </cfRule>
    <cfRule type="cellIs" dxfId="196" priority="171" operator="equal">
      <formula>"Cta-4"</formula>
    </cfRule>
    <cfRule type="expression" dxfId="195" priority="176">
      <formula>#REF!="Programada"</formula>
    </cfRule>
    <cfRule type="expression" dxfId="194" priority="177">
      <formula>#REF!="Cerrada"</formula>
    </cfRule>
  </conditionalFormatting>
  <conditionalFormatting sqref="C13:Q13">
    <cfRule type="expression" dxfId="193" priority="29">
      <formula>$T13="Programada"</formula>
    </cfRule>
    <cfRule type="expression" dxfId="192" priority="30">
      <formula>$T13="Cerrada"</formula>
    </cfRule>
    <cfRule type="expression" dxfId="191" priority="27">
      <formula>$T13="Abierta"</formula>
    </cfRule>
  </conditionalFormatting>
  <conditionalFormatting sqref="C20:Q20">
    <cfRule type="expression" dxfId="190" priority="14">
      <formula>$T20="Abierta"</formula>
    </cfRule>
    <cfRule type="expression" dxfId="189" priority="17">
      <formula>$T20="Cerrada"</formula>
    </cfRule>
    <cfRule type="expression" dxfId="188" priority="16">
      <formula>$T20="Programada"</formula>
    </cfRule>
  </conditionalFormatting>
  <conditionalFormatting sqref="C21:Q21">
    <cfRule type="expression" dxfId="187" priority="162">
      <formula>#REF!="Cerrada"</formula>
    </cfRule>
    <cfRule type="expression" dxfId="186" priority="161">
      <formula>#REF!="Programada"</formula>
    </cfRule>
    <cfRule type="expression" dxfId="185" priority="160">
      <formula>#REF!="Abierta"</formula>
    </cfRule>
  </conditionalFormatting>
  <conditionalFormatting sqref="C11:R11">
    <cfRule type="expression" dxfId="184" priority="49">
      <formula>$T11="Abierta"</formula>
    </cfRule>
    <cfRule type="expression" dxfId="183" priority="51">
      <formula>$T11="Cerrada"</formula>
    </cfRule>
    <cfRule type="expression" dxfId="182" priority="50">
      <formula>$T11="Programada"</formula>
    </cfRule>
  </conditionalFormatting>
  <conditionalFormatting sqref="C12:R12">
    <cfRule type="expression" dxfId="181" priority="35">
      <formula>$T12="Abierta"</formula>
    </cfRule>
    <cfRule type="expression" dxfId="180" priority="36">
      <formula>$T12="Programada"</formula>
    </cfRule>
    <cfRule type="expression" dxfId="179" priority="37">
      <formula>$T12="Cerrada"</formula>
    </cfRule>
  </conditionalFormatting>
  <conditionalFormatting sqref="C4:S5">
    <cfRule type="expression" dxfId="178" priority="89">
      <formula>$S4="Programada"</formula>
    </cfRule>
    <cfRule type="expression" dxfId="177" priority="90">
      <formula>$S4="Cerrada"</formula>
    </cfRule>
    <cfRule type="expression" dxfId="176" priority="91">
      <formula>$S4="Abierta"</formula>
    </cfRule>
  </conditionalFormatting>
  <conditionalFormatting sqref="C14:S14">
    <cfRule type="expression" dxfId="175" priority="267">
      <formula>$S14="Programada"</formula>
    </cfRule>
    <cfRule type="expression" dxfId="174" priority="268">
      <formula>$S14="Cerrada"</formula>
    </cfRule>
    <cfRule type="expression" dxfId="173" priority="269">
      <formula>$S14="Abierta"</formula>
    </cfRule>
  </conditionalFormatting>
  <conditionalFormatting sqref="P4:P5">
    <cfRule type="cellIs" dxfId="172" priority="84" operator="lessThan">
      <formula>0</formula>
    </cfRule>
    <cfRule type="cellIs" dxfId="171" priority="85" operator="greaterThan">
      <formula>0</formula>
    </cfRule>
  </conditionalFormatting>
  <conditionalFormatting sqref="P11">
    <cfRule type="cellIs" dxfId="170" priority="52" operator="lessThan">
      <formula>0</formula>
    </cfRule>
    <cfRule type="cellIs" dxfId="169" priority="53" operator="greaterThan">
      <formula>0</formula>
    </cfRule>
  </conditionalFormatting>
  <conditionalFormatting sqref="P11:P12">
    <cfRule type="cellIs" dxfId="168" priority="38" operator="lessThan">
      <formula>0</formula>
    </cfRule>
    <cfRule type="cellIs" dxfId="167" priority="39" operator="greaterThan">
      <formula>0</formula>
    </cfRule>
  </conditionalFormatting>
  <conditionalFormatting sqref="P12:P14">
    <cfRule type="cellIs" dxfId="166" priority="32" operator="greaterThan">
      <formula>0</formula>
    </cfRule>
    <cfRule type="cellIs" dxfId="165" priority="31" operator="lessThan">
      <formula>0</formula>
    </cfRule>
  </conditionalFormatting>
  <conditionalFormatting sqref="P13">
    <cfRule type="cellIs" dxfId="164" priority="23" operator="lessThan">
      <formula>0</formula>
    </cfRule>
    <cfRule type="cellIs" dxfId="163" priority="24" operator="greaterThan">
      <formula>0</formula>
    </cfRule>
  </conditionalFormatting>
  <conditionalFormatting sqref="P20">
    <cfRule type="cellIs" dxfId="162" priority="11" operator="greaterThan">
      <formula>0</formula>
    </cfRule>
    <cfRule type="cellIs" dxfId="161" priority="10" operator="lessThan">
      <formula>0</formula>
    </cfRule>
  </conditionalFormatting>
  <conditionalFormatting sqref="P20:P21">
    <cfRule type="cellIs" dxfId="160" priority="18" operator="lessThan">
      <formula>0</formula>
    </cfRule>
    <cfRule type="cellIs" dxfId="159" priority="19" operator="greaterThan">
      <formula>0</formula>
    </cfRule>
  </conditionalFormatting>
  <conditionalFormatting sqref="R13">
    <cfRule type="expression" dxfId="158" priority="21">
      <formula>$T13="Cerrada"</formula>
    </cfRule>
    <cfRule type="expression" dxfId="157" priority="20">
      <formula>$T13="Programada"</formula>
    </cfRule>
    <cfRule type="expression" dxfId="156" priority="22">
      <formula>$T13="Abierta"</formula>
    </cfRule>
  </conditionalFormatting>
  <conditionalFormatting sqref="R20">
    <cfRule type="expression" dxfId="155" priority="4">
      <formula>$T20="Abierta"</formula>
    </cfRule>
    <cfRule type="expression" dxfId="154" priority="6">
      <formula>$T20="Cerrada"</formula>
    </cfRule>
    <cfRule type="expression" dxfId="153" priority="5">
      <formula>$T20="Programada"</formula>
    </cfRule>
  </conditionalFormatting>
  <conditionalFormatting sqref="R21:S21">
    <cfRule type="expression" dxfId="152" priority="168">
      <formula>$S21="Programada"</formula>
    </cfRule>
    <cfRule type="expression" dxfId="151" priority="169">
      <formula>$S21="Cerrada"</formula>
    </cfRule>
    <cfRule type="expression" dxfId="150" priority="170">
      <formula>$S21="Abierta"</formula>
    </cfRule>
  </conditionalFormatting>
  <conditionalFormatting sqref="S11:S13">
    <cfRule type="expression" dxfId="149" priority="72">
      <formula>$S11="Abierta"</formula>
    </cfRule>
    <cfRule type="expression" dxfId="148" priority="71">
      <formula>$S11="Cerrada"</formula>
    </cfRule>
    <cfRule type="expression" dxfId="147" priority="70">
      <formula>$S11="Programada"</formula>
    </cfRule>
  </conditionalFormatting>
  <conditionalFormatting sqref="S20">
    <cfRule type="expression" dxfId="0" priority="1">
      <formula>$S20="Programada"</formula>
    </cfRule>
    <cfRule type="expression" dxfId="1" priority="2">
      <formula>$S20="Cerrada"</formula>
    </cfRule>
    <cfRule type="expression" dxfId="2" priority="3">
      <formula>$S20="Abierta"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0AAC7F-2211-4A0B-AC0C-B0DAAC58D520}">
          <x14:formula1>
            <xm:f>Listas!$D$4:$D$7</xm:f>
          </x14:formula1>
          <xm:sqref>B20:B21 B5 B14</xm:sqref>
        </x14:dataValidation>
        <x14:dataValidation type="list" allowBlank="1" showInputMessage="1" showErrorMessage="1" xr:uid="{6B34F11D-1BEB-4F41-A520-3006F782334E}">
          <x14:formula1>
            <xm:f>Listas!$E$4:$E$15</xm:f>
          </x14:formula1>
          <xm:sqref>R14 R5 R20:R21</xm:sqref>
        </x14:dataValidation>
        <x14:dataValidation type="list" allowBlank="1" showInputMessage="1" showErrorMessage="1" xr:uid="{3075B1E4-DAD1-4E5D-B59B-3B14E79A77E0}">
          <x14:formula1>
            <xm:f>Listas!$H$4:$H$6</xm:f>
          </x14:formula1>
          <xm:sqref>S14 S5 S21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FB0-FB7E-420D-AA86-0325D0483215}">
  <dimension ref="B3:K50"/>
  <sheetViews>
    <sheetView workbookViewId="0">
      <selection activeCell="N18" sqref="N18"/>
    </sheetView>
  </sheetViews>
  <sheetFormatPr baseColWidth="10" defaultColWidth="3.42578125" defaultRowHeight="12.75" x14ac:dyDescent="0.2"/>
  <cols>
    <col min="1" max="1" width="3.42578125" style="54"/>
    <col min="2" max="2" width="14" style="57" bestFit="1" customWidth="1"/>
    <col min="3" max="3" width="10.5703125" style="58" bestFit="1" customWidth="1"/>
    <col min="4" max="5" width="10.28515625" style="57" bestFit="1" customWidth="1"/>
    <col min="6" max="7" width="10.28515625" style="54" bestFit="1" customWidth="1"/>
    <col min="8" max="8" width="9.85546875" style="54" bestFit="1" customWidth="1"/>
    <col min="9" max="9" width="9.28515625" style="54" bestFit="1" customWidth="1"/>
    <col min="10" max="10" width="9.85546875" style="54" bestFit="1" customWidth="1"/>
    <col min="11" max="16384" width="3.42578125" style="54"/>
  </cols>
  <sheetData>
    <row r="3" spans="2:10" x14ac:dyDescent="0.2">
      <c r="B3" s="78"/>
      <c r="C3" s="67" t="s">
        <v>26</v>
      </c>
      <c r="D3" s="68" t="s">
        <v>28</v>
      </c>
      <c r="E3" s="69" t="s">
        <v>98</v>
      </c>
      <c r="F3" s="77" t="s">
        <v>48</v>
      </c>
      <c r="G3" s="79"/>
    </row>
    <row r="4" spans="2:10" x14ac:dyDescent="0.2">
      <c r="B4" s="135"/>
      <c r="C4" s="242" t="s">
        <v>175</v>
      </c>
      <c r="D4" s="243" t="s">
        <v>176</v>
      </c>
      <c r="E4" s="243" t="s">
        <v>177</v>
      </c>
      <c r="F4" s="243" t="s">
        <v>178</v>
      </c>
      <c r="G4" s="136" t="s">
        <v>42</v>
      </c>
    </row>
    <row r="5" spans="2:10" x14ac:dyDescent="0.2">
      <c r="B5" s="124" t="s">
        <v>90</v>
      </c>
      <c r="C5" s="137">
        <f>G27+G13</f>
        <v>5000</v>
      </c>
      <c r="D5" s="137">
        <f>H27+H13</f>
        <v>0</v>
      </c>
      <c r="E5" s="137">
        <f>I27+I13</f>
        <v>0</v>
      </c>
      <c r="F5" s="137">
        <f>J27+J13</f>
        <v>0</v>
      </c>
      <c r="G5" s="138">
        <f>SUM(C5:F5)</f>
        <v>5000</v>
      </c>
    </row>
    <row r="6" spans="2:10" x14ac:dyDescent="0.2">
      <c r="B6" s="124" t="s">
        <v>135</v>
      </c>
      <c r="C6" s="137">
        <f>G27+G30+G33+G13+G17+G21</f>
        <v>5000</v>
      </c>
      <c r="D6" s="137">
        <f>H27+H30+H33+H13+H17+H21</f>
        <v>0</v>
      </c>
      <c r="E6" s="137">
        <f>I27+I30+I33+I13+I17+I21</f>
        <v>0</v>
      </c>
      <c r="F6" s="137">
        <f>J27+J30+J33+I13+I17+I21</f>
        <v>0</v>
      </c>
      <c r="G6" s="138">
        <f>SUM(C6:F6)</f>
        <v>5000</v>
      </c>
    </row>
    <row r="7" spans="2:10" x14ac:dyDescent="0.2">
      <c r="B7" s="124" t="s">
        <v>109</v>
      </c>
      <c r="C7" s="119">
        <f>General!C12</f>
        <v>125.71598799999902</v>
      </c>
      <c r="D7" s="119">
        <f>General!D12</f>
        <v>0</v>
      </c>
      <c r="E7" s="119">
        <f>General!E12</f>
        <v>0</v>
      </c>
      <c r="F7" s="119">
        <f>General!F12</f>
        <v>0</v>
      </c>
      <c r="G7" s="139">
        <f>SUM(C7:F7)</f>
        <v>125.71598799999902</v>
      </c>
    </row>
    <row r="9" spans="2:10" x14ac:dyDescent="0.2">
      <c r="B9" s="251" t="s">
        <v>167</v>
      </c>
      <c r="C9" s="252"/>
      <c r="D9" s="252"/>
      <c r="E9" s="252"/>
      <c r="F9" s="252"/>
      <c r="G9" s="252"/>
      <c r="H9" s="252"/>
      <c r="I9" s="252"/>
      <c r="J9" s="253"/>
    </row>
    <row r="10" spans="2:10" x14ac:dyDescent="0.2">
      <c r="B10" s="140" t="s">
        <v>54</v>
      </c>
      <c r="C10" s="6" t="s">
        <v>53</v>
      </c>
      <c r="D10" s="6" t="s">
        <v>55</v>
      </c>
      <c r="E10" s="6" t="s">
        <v>57</v>
      </c>
      <c r="F10" s="6" t="s">
        <v>58</v>
      </c>
      <c r="G10" s="7" t="s">
        <v>26</v>
      </c>
      <c r="H10" s="8" t="s">
        <v>28</v>
      </c>
      <c r="I10" s="9" t="s">
        <v>40</v>
      </c>
      <c r="J10" s="141" t="s">
        <v>48</v>
      </c>
    </row>
    <row r="11" spans="2:10" x14ac:dyDescent="0.2">
      <c r="B11" s="61"/>
      <c r="F11" s="134"/>
      <c r="G11" s="134"/>
      <c r="H11" s="134"/>
      <c r="I11" s="134"/>
      <c r="J11" s="60"/>
    </row>
    <row r="12" spans="2:10" x14ac:dyDescent="0.2">
      <c r="B12" s="61"/>
      <c r="F12" s="134"/>
      <c r="G12" s="134">
        <f>_xlfn.IFS($E12&lt;&gt;"Cta-1",0,$E12="Cta-1",F12)</f>
        <v>0</v>
      </c>
      <c r="H12" s="134">
        <f>_xlfn.IFS($E12&lt;&gt;"Cta-2",0,$E12="Cta-2",F12)</f>
        <v>0</v>
      </c>
      <c r="I12" s="134">
        <f>_xlfn.IFS($E12&lt;&gt;"Cta-3",0,$E12="Cta-3",F12)</f>
        <v>0</v>
      </c>
      <c r="J12" s="60">
        <f>_xlfn.IFS($E12&lt;&gt;"Cta-4",0,$E12="Cta-4",F12)</f>
        <v>0</v>
      </c>
    </row>
    <row r="13" spans="2:10" x14ac:dyDescent="0.2">
      <c r="B13" s="142"/>
      <c r="C13" s="62"/>
      <c r="D13" s="63"/>
      <c r="E13" s="64" t="s">
        <v>42</v>
      </c>
      <c r="F13" s="65">
        <f>SUM(F11:F12)</f>
        <v>0</v>
      </c>
      <c r="G13" s="65">
        <f>SUM(G11:G12)</f>
        <v>0</v>
      </c>
      <c r="H13" s="65">
        <f>SUM(H11:H12)</f>
        <v>0</v>
      </c>
      <c r="I13" s="65">
        <f>SUM(I11:I12)</f>
        <v>0</v>
      </c>
      <c r="J13" s="66">
        <f>SUM(J11:J12)</f>
        <v>0</v>
      </c>
    </row>
    <row r="14" spans="2:10" x14ac:dyDescent="0.2">
      <c r="B14" s="109" t="s">
        <v>97</v>
      </c>
      <c r="C14" s="103" t="s">
        <v>53</v>
      </c>
      <c r="D14" s="103" t="s">
        <v>56</v>
      </c>
      <c r="E14" s="103" t="s">
        <v>55</v>
      </c>
      <c r="F14" s="103" t="s">
        <v>58</v>
      </c>
      <c r="G14" s="67" t="s">
        <v>26</v>
      </c>
      <c r="H14" s="68" t="s">
        <v>28</v>
      </c>
      <c r="I14" s="69" t="s">
        <v>40</v>
      </c>
      <c r="J14" s="70" t="s">
        <v>48</v>
      </c>
    </row>
    <row r="15" spans="2:10" x14ac:dyDescent="0.2">
      <c r="B15" s="71"/>
      <c r="F15" s="134"/>
      <c r="G15" s="134"/>
      <c r="H15" s="134"/>
      <c r="I15" s="134"/>
      <c r="J15" s="60"/>
    </row>
    <row r="16" spans="2:10" x14ac:dyDescent="0.2">
      <c r="B16" s="71"/>
      <c r="F16" s="134"/>
      <c r="G16" s="134"/>
      <c r="H16" s="134"/>
      <c r="I16" s="134"/>
      <c r="J16" s="60"/>
    </row>
    <row r="17" spans="2:10" x14ac:dyDescent="0.2">
      <c r="B17" s="72"/>
      <c r="C17" s="62"/>
      <c r="D17" s="63"/>
      <c r="E17" s="64" t="s">
        <v>42</v>
      </c>
      <c r="F17" s="65">
        <f>SUM(F15:F16)</f>
        <v>0</v>
      </c>
      <c r="G17" s="65">
        <f>SUM(G15:G16)</f>
        <v>0</v>
      </c>
      <c r="H17" s="65">
        <f>SUM(H15:H16)</f>
        <v>0</v>
      </c>
      <c r="I17" s="65">
        <f>SUM(I15:I16)</f>
        <v>0</v>
      </c>
      <c r="J17" s="66">
        <f>SUM(J15:J16)</f>
        <v>0</v>
      </c>
    </row>
    <row r="18" spans="2:10" x14ac:dyDescent="0.2">
      <c r="B18" s="123" t="s">
        <v>27</v>
      </c>
      <c r="C18" s="103" t="s">
        <v>53</v>
      </c>
      <c r="D18" s="103" t="s">
        <v>56</v>
      </c>
      <c r="E18" s="103" t="s">
        <v>57</v>
      </c>
      <c r="F18" s="103" t="s">
        <v>58</v>
      </c>
      <c r="G18" s="67" t="s">
        <v>26</v>
      </c>
      <c r="H18" s="68" t="s">
        <v>28</v>
      </c>
      <c r="I18" s="69" t="s">
        <v>40</v>
      </c>
      <c r="J18" s="70" t="s">
        <v>48</v>
      </c>
    </row>
    <row r="19" spans="2:10" x14ac:dyDescent="0.2">
      <c r="B19" s="73"/>
      <c r="F19" s="134"/>
      <c r="G19" s="134"/>
      <c r="H19" s="134"/>
      <c r="I19" s="134">
        <f t="shared" ref="I19" si="0">_xlfn.IFS($D19=$E19,0,$D19="Cta-3",F19*(-1),$E19="Cta-3",F19,$D19&lt;&gt;"Cta-3",0,$F19&lt;&gt;"Cta-3",0)</f>
        <v>0</v>
      </c>
      <c r="J19" s="60">
        <f t="shared" ref="J19" si="1">_xlfn.IFS($D19=$E19,0,$D19="Cta-4",F19*(-1),$E19="Cta-4",F19,$D19&lt;&gt;"Cta-4",0,$F19&lt;&gt;"Cta-4",0)</f>
        <v>0</v>
      </c>
    </row>
    <row r="20" spans="2:10" x14ac:dyDescent="0.2">
      <c r="B20" s="73"/>
      <c r="F20" s="134"/>
      <c r="G20" s="134"/>
      <c r="H20" s="134"/>
      <c r="I20" s="134"/>
      <c r="J20" s="60"/>
    </row>
    <row r="21" spans="2:10" x14ac:dyDescent="0.2">
      <c r="B21" s="74"/>
      <c r="C21" s="75"/>
      <c r="D21" s="76"/>
      <c r="E21" s="76"/>
      <c r="F21" s="64" t="s">
        <v>42</v>
      </c>
      <c r="G21" s="65">
        <f>SUM(G19:G20)</f>
        <v>0</v>
      </c>
      <c r="H21" s="65">
        <f>SUM(H19:H20)</f>
        <v>0</v>
      </c>
      <c r="I21" s="65">
        <f>SUM(I19:I20)</f>
        <v>0</v>
      </c>
      <c r="J21" s="66">
        <f>SUM(J19:J20)</f>
        <v>0</v>
      </c>
    </row>
    <row r="23" spans="2:10" x14ac:dyDescent="0.2">
      <c r="B23" s="251" t="s">
        <v>166</v>
      </c>
      <c r="C23" s="252"/>
      <c r="D23" s="252"/>
      <c r="E23" s="252"/>
      <c r="F23" s="252"/>
      <c r="G23" s="252"/>
      <c r="H23" s="252"/>
      <c r="I23" s="252"/>
      <c r="J23" s="253"/>
    </row>
    <row r="24" spans="2:10" x14ac:dyDescent="0.2">
      <c r="B24" s="140" t="s">
        <v>54</v>
      </c>
      <c r="C24" s="6" t="s">
        <v>53</v>
      </c>
      <c r="D24" s="6" t="s">
        <v>55</v>
      </c>
      <c r="E24" s="6" t="s">
        <v>57</v>
      </c>
      <c r="F24" s="6" t="s">
        <v>58</v>
      </c>
      <c r="G24" s="7" t="s">
        <v>26</v>
      </c>
      <c r="H24" s="8" t="s">
        <v>28</v>
      </c>
      <c r="I24" s="9" t="s">
        <v>40</v>
      </c>
      <c r="J24" s="141" t="s">
        <v>48</v>
      </c>
    </row>
    <row r="25" spans="2:10" x14ac:dyDescent="0.2">
      <c r="B25" s="61"/>
      <c r="C25" s="58">
        <v>45758</v>
      </c>
      <c r="D25" s="215" t="s">
        <v>0</v>
      </c>
      <c r="E25" s="57" t="s">
        <v>26</v>
      </c>
      <c r="F25" s="134">
        <v>5000</v>
      </c>
      <c r="G25" s="134">
        <f>_xlfn.IFS($E25&lt;&gt;"Cta-1",0,$E25="Cta-1",F25)</f>
        <v>5000</v>
      </c>
      <c r="H25" s="134">
        <f>_xlfn.IFS($E25&lt;&gt;"Cta-2",0,$E25="Cta-2",F25)</f>
        <v>0</v>
      </c>
      <c r="I25" s="134">
        <f>_xlfn.IFS($E25&lt;&gt;"Cta-3",0,$E25="Cta-3",F25)</f>
        <v>0</v>
      </c>
      <c r="J25" s="60">
        <f>_xlfn.IFS($E25&lt;&gt;"Cta-4",0,$E25="Cta-4",F25)</f>
        <v>0</v>
      </c>
    </row>
    <row r="26" spans="2:10" x14ac:dyDescent="0.2">
      <c r="B26" s="61"/>
      <c r="F26" s="134"/>
      <c r="G26" s="134">
        <f>_xlfn.IFS($E26&lt;&gt;"Cta-1",0,$E26="Cta-1",F26)</f>
        <v>0</v>
      </c>
      <c r="H26" s="134">
        <f>_xlfn.IFS($E26&lt;&gt;"Cta-2",0,$E26="Cta-2",F26)</f>
        <v>0</v>
      </c>
      <c r="I26" s="134">
        <f>_xlfn.IFS($E26&lt;&gt;"Cta-3",0,$E26="Cta-3",F26)</f>
        <v>0</v>
      </c>
      <c r="J26" s="60">
        <f>_xlfn.IFS($E26&lt;&gt;"Cta-4",0,$E26="Cta-4",F26)</f>
        <v>0</v>
      </c>
    </row>
    <row r="27" spans="2:10" x14ac:dyDescent="0.2">
      <c r="B27" s="142"/>
      <c r="C27" s="62"/>
      <c r="D27" s="63"/>
      <c r="E27" s="64" t="s">
        <v>42</v>
      </c>
      <c r="F27" s="65">
        <f>SUM(F25:F26)</f>
        <v>5000</v>
      </c>
      <c r="G27" s="65">
        <f>SUM(G25:G26)</f>
        <v>5000</v>
      </c>
      <c r="H27" s="65">
        <f>SUM(H25:H26)</f>
        <v>0</v>
      </c>
      <c r="I27" s="65">
        <f>SUM(I25:I26)</f>
        <v>0</v>
      </c>
      <c r="J27" s="66">
        <f>SUM(J25:J26)</f>
        <v>0</v>
      </c>
    </row>
    <row r="28" spans="2:10" x14ac:dyDescent="0.2">
      <c r="B28" s="109" t="s">
        <v>97</v>
      </c>
      <c r="C28" s="103" t="s">
        <v>53</v>
      </c>
      <c r="D28" s="103" t="s">
        <v>56</v>
      </c>
      <c r="E28" s="103" t="s">
        <v>55</v>
      </c>
      <c r="F28" s="103" t="s">
        <v>58</v>
      </c>
      <c r="G28" s="67" t="s">
        <v>26</v>
      </c>
      <c r="H28" s="68" t="s">
        <v>28</v>
      </c>
      <c r="I28" s="69" t="s">
        <v>40</v>
      </c>
      <c r="J28" s="70" t="s">
        <v>48</v>
      </c>
    </row>
    <row r="29" spans="2:10" x14ac:dyDescent="0.2">
      <c r="B29" s="71"/>
      <c r="F29" s="134"/>
      <c r="G29" s="134"/>
      <c r="H29" s="134"/>
      <c r="I29" s="134"/>
      <c r="J29" s="60"/>
    </row>
    <row r="30" spans="2:10" x14ac:dyDescent="0.2">
      <c r="B30" s="72"/>
      <c r="C30" s="62"/>
      <c r="D30" s="63"/>
      <c r="E30" s="64" t="s">
        <v>42</v>
      </c>
      <c r="F30" s="65">
        <f>SUM(F29:F29)</f>
        <v>0</v>
      </c>
      <c r="G30" s="65">
        <f>SUM(G29:G29)</f>
        <v>0</v>
      </c>
      <c r="H30" s="65">
        <f>SUM(H29:H29)</f>
        <v>0</v>
      </c>
      <c r="I30" s="65">
        <f>SUM(I29:I29)</f>
        <v>0</v>
      </c>
      <c r="J30" s="66">
        <f>SUM(J29:J29)</f>
        <v>0</v>
      </c>
    </row>
    <row r="31" spans="2:10" x14ac:dyDescent="0.2">
      <c r="B31" s="123" t="s">
        <v>27</v>
      </c>
      <c r="C31" s="103" t="s">
        <v>53</v>
      </c>
      <c r="D31" s="103" t="s">
        <v>56</v>
      </c>
      <c r="E31" s="103" t="s">
        <v>57</v>
      </c>
      <c r="F31" s="103" t="s">
        <v>58</v>
      </c>
      <c r="G31" s="67" t="s">
        <v>26</v>
      </c>
      <c r="H31" s="68" t="s">
        <v>28</v>
      </c>
      <c r="I31" s="69" t="s">
        <v>40</v>
      </c>
      <c r="J31" s="70" t="s">
        <v>48</v>
      </c>
    </row>
    <row r="32" spans="2:10" x14ac:dyDescent="0.2">
      <c r="B32" s="73"/>
      <c r="F32" s="134"/>
      <c r="G32" s="134"/>
      <c r="H32" s="134"/>
      <c r="I32" s="134"/>
      <c r="J32" s="60"/>
    </row>
    <row r="33" spans="2:11" x14ac:dyDescent="0.2">
      <c r="B33" s="74"/>
      <c r="C33" s="75"/>
      <c r="D33" s="76"/>
      <c r="E33" s="76"/>
      <c r="F33" s="64" t="s">
        <v>42</v>
      </c>
      <c r="G33" s="65">
        <f>SUM(G32:G32)</f>
        <v>0</v>
      </c>
      <c r="H33" s="65">
        <f>SUM(H32:H32)</f>
        <v>0</v>
      </c>
      <c r="I33" s="65">
        <f>SUM(I32:I32)</f>
        <v>0</v>
      </c>
      <c r="J33" s="66">
        <f>SUM(J32:J32)</f>
        <v>0</v>
      </c>
    </row>
    <row r="45" spans="2:11" x14ac:dyDescent="0.2">
      <c r="K45" s="34"/>
    </row>
    <row r="46" spans="2:11" x14ac:dyDescent="0.2">
      <c r="K46" s="34"/>
    </row>
    <row r="47" spans="2:11" x14ac:dyDescent="0.2">
      <c r="K47" s="34"/>
    </row>
    <row r="48" spans="2:11" x14ac:dyDescent="0.2">
      <c r="K48" s="1"/>
    </row>
    <row r="49" spans="11:11" x14ac:dyDescent="0.2">
      <c r="K49" s="38"/>
    </row>
    <row r="50" spans="11:11" x14ac:dyDescent="0.2">
      <c r="K50" s="38"/>
    </row>
  </sheetData>
  <mergeCells count="2">
    <mergeCell ref="B23:J23"/>
    <mergeCell ref="B9:J9"/>
  </mergeCells>
  <phoneticPr fontId="17" type="noConversion"/>
  <conditionalFormatting sqref="G11:J12 G19:J20 G25:J26 G32:J32">
    <cfRule type="cellIs" dxfId="146" priority="9" operator="equal">
      <formula>0</formula>
    </cfRule>
  </conditionalFormatting>
  <conditionalFormatting sqref="G15:J16">
    <cfRule type="cellIs" dxfId="145" priority="2" operator="equal">
      <formula>0</formula>
    </cfRule>
  </conditionalFormatting>
  <conditionalFormatting sqref="G29:J29">
    <cfRule type="cellIs" dxfId="144" priority="7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AD92E90-AFEF-4F40-BBEA-D67D2154BA2A}">
          <x14:formula1>
            <xm:f>Listas!$D$4:$D$7</xm:f>
          </x14:formula1>
          <xm:sqref>D29 D15:D16 D19:D21 E19:E20 E11:E12 E25:E26 D32:D33 E32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8A3A-0C75-4189-A78B-0B799AE40596}">
  <dimension ref="B2:U22"/>
  <sheetViews>
    <sheetView workbookViewId="0">
      <pane ySplit="8" topLeftCell="A9" activePane="bottomLeft" state="frozen"/>
      <selection pane="bottomLeft" activeCell="G30" sqref="G30"/>
    </sheetView>
  </sheetViews>
  <sheetFormatPr baseColWidth="10" defaultColWidth="4.42578125" defaultRowHeight="12.75" x14ac:dyDescent="0.2"/>
  <cols>
    <col min="1" max="1" width="4.42578125" style="200"/>
    <col min="2" max="2" width="6.42578125" style="200" bestFit="1" customWidth="1"/>
    <col min="3" max="3" width="8" style="200" bestFit="1" customWidth="1"/>
    <col min="4" max="4" width="8.28515625" style="200" bestFit="1" customWidth="1"/>
    <col min="5" max="5" width="7.85546875" style="200" bestFit="1" customWidth="1"/>
    <col min="6" max="6" width="6.85546875" style="200" bestFit="1" customWidth="1"/>
    <col min="7" max="7" width="7.85546875" style="200" bestFit="1" customWidth="1"/>
    <col min="8" max="9" width="10" style="200" customWidth="1"/>
    <col min="10" max="20" width="5.85546875" style="200" bestFit="1" customWidth="1"/>
    <col min="21" max="21" width="7.85546875" style="200" bestFit="1" customWidth="1"/>
    <col min="22" max="16384" width="4.42578125" style="200"/>
  </cols>
  <sheetData>
    <row r="2" spans="2:21" x14ac:dyDescent="0.2">
      <c r="B2" s="254" t="s">
        <v>132</v>
      </c>
      <c r="C2" s="254"/>
      <c r="D2" s="254"/>
      <c r="E2" s="254"/>
      <c r="F2" s="254"/>
      <c r="G2" s="254"/>
    </row>
    <row r="3" spans="2:21" x14ac:dyDescent="0.2">
      <c r="B3" s="193" t="s">
        <v>9</v>
      </c>
      <c r="C3" s="6" t="s">
        <v>158</v>
      </c>
      <c r="D3" s="6" t="s">
        <v>159</v>
      </c>
      <c r="E3" s="45" t="s">
        <v>42</v>
      </c>
      <c r="F3" s="6" t="s">
        <v>89</v>
      </c>
      <c r="G3" s="45" t="s">
        <v>42</v>
      </c>
    </row>
    <row r="4" spans="2:21" x14ac:dyDescent="0.2">
      <c r="B4" s="7" t="s">
        <v>26</v>
      </c>
      <c r="C4" s="201">
        <f>Operaciones!M4</f>
        <v>32.217819999999996</v>
      </c>
      <c r="D4" s="201">
        <f>Operaciones!N4</f>
        <v>29.986491999999998</v>
      </c>
      <c r="E4" s="202">
        <f>C4+D4</f>
        <v>62.204311999999994</v>
      </c>
      <c r="F4" s="201">
        <f>Operaciones!O4</f>
        <v>53.689699999999995</v>
      </c>
      <c r="G4" s="202">
        <f>E4+F4</f>
        <v>115.89401199999999</v>
      </c>
      <c r="H4" s="255" t="s">
        <v>169</v>
      </c>
      <c r="I4" s="255"/>
    </row>
    <row r="5" spans="2:21" x14ac:dyDescent="0.2">
      <c r="B5" s="8" t="s">
        <v>28</v>
      </c>
      <c r="C5" s="201">
        <f>Operaciones!M5</f>
        <v>0</v>
      </c>
      <c r="D5" s="201">
        <f>Operaciones!N5</f>
        <v>0</v>
      </c>
      <c r="E5" s="202">
        <f t="shared" ref="E5:E7" si="0">C5+D5</f>
        <v>0</v>
      </c>
      <c r="F5" s="201">
        <f>Operaciones!O5</f>
        <v>0</v>
      </c>
      <c r="G5" s="202">
        <f t="shared" ref="G5:G7" si="1">E5+F5</f>
        <v>0</v>
      </c>
      <c r="H5" s="177" t="s">
        <v>156</v>
      </c>
      <c r="I5" s="45" t="s">
        <v>42</v>
      </c>
    </row>
    <row r="6" spans="2:21" x14ac:dyDescent="0.2">
      <c r="B6" s="9" t="s">
        <v>40</v>
      </c>
      <c r="C6" s="201">
        <f>Operaciones!M6</f>
        <v>0</v>
      </c>
      <c r="D6" s="201">
        <f>Operaciones!N6</f>
        <v>0</v>
      </c>
      <c r="E6" s="202">
        <f t="shared" si="0"/>
        <v>0</v>
      </c>
      <c r="F6" s="201">
        <f>Operaciones!O6</f>
        <v>0</v>
      </c>
      <c r="G6" s="202">
        <f t="shared" si="1"/>
        <v>0</v>
      </c>
      <c r="H6" s="6" t="s">
        <v>153</v>
      </c>
      <c r="I6" s="202">
        <f>U13+U20</f>
        <v>0</v>
      </c>
    </row>
    <row r="7" spans="2:21" x14ac:dyDescent="0.2">
      <c r="B7" s="26" t="s">
        <v>48</v>
      </c>
      <c r="C7" s="201">
        <f>Operaciones!M7</f>
        <v>0</v>
      </c>
      <c r="D7" s="201">
        <f>Operaciones!N7</f>
        <v>0</v>
      </c>
      <c r="E7" s="202">
        <f t="shared" si="0"/>
        <v>0</v>
      </c>
      <c r="F7" s="201">
        <f>Operaciones!O7</f>
        <v>0</v>
      </c>
      <c r="G7" s="202">
        <f t="shared" si="1"/>
        <v>0</v>
      </c>
      <c r="H7" s="6" t="s">
        <v>154</v>
      </c>
      <c r="I7" s="202">
        <f>U14+U21</f>
        <v>0</v>
      </c>
    </row>
    <row r="8" spans="2:21" x14ac:dyDescent="0.2">
      <c r="B8" s="49" t="s">
        <v>42</v>
      </c>
      <c r="C8" s="49">
        <f>SUM(C4:C7)</f>
        <v>32.217819999999996</v>
      </c>
      <c r="D8" s="49">
        <f t="shared" ref="D8:G8" si="2">SUM(D4:D7)</f>
        <v>29.986491999999998</v>
      </c>
      <c r="E8" s="192">
        <f t="shared" si="2"/>
        <v>62.204311999999994</v>
      </c>
      <c r="F8" s="49">
        <f t="shared" si="2"/>
        <v>53.689699999999995</v>
      </c>
      <c r="G8" s="192">
        <f t="shared" si="2"/>
        <v>115.89401199999999</v>
      </c>
      <c r="H8" s="49" t="s">
        <v>155</v>
      </c>
      <c r="I8" s="192">
        <f>SUM(I6:I7)</f>
        <v>0</v>
      </c>
    </row>
    <row r="9" spans="2:21" s="203" customFormat="1" x14ac:dyDescent="0.2"/>
    <row r="10" spans="2:21" x14ac:dyDescent="0.2">
      <c r="B10" s="191">
        <v>2026</v>
      </c>
      <c r="C10" s="6" t="s">
        <v>158</v>
      </c>
      <c r="D10" s="6" t="s">
        <v>159</v>
      </c>
      <c r="E10" s="45" t="s">
        <v>42</v>
      </c>
      <c r="F10" s="6" t="s">
        <v>89</v>
      </c>
      <c r="G10" s="45" t="s">
        <v>42</v>
      </c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</row>
    <row r="11" spans="2:21" x14ac:dyDescent="0.2">
      <c r="B11" s="7" t="s">
        <v>26</v>
      </c>
      <c r="C11" s="201">
        <f>'2026'!N24</f>
        <v>6.7589999999999995</v>
      </c>
      <c r="D11" s="201">
        <f>'2026'!O24</f>
        <v>7.02</v>
      </c>
      <c r="E11" s="202">
        <f>C11+D11</f>
        <v>13.779</v>
      </c>
      <c r="F11" s="201">
        <f>'2026'!P24</f>
        <v>11.265000000000001</v>
      </c>
      <c r="G11" s="202">
        <f>E11+F11</f>
        <v>25.044</v>
      </c>
      <c r="H11" s="255" t="s">
        <v>157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</row>
    <row r="12" spans="2:21" x14ac:dyDescent="0.2">
      <c r="B12" s="8" t="s">
        <v>28</v>
      </c>
      <c r="C12" s="201">
        <f>'2026'!N29</f>
        <v>0</v>
      </c>
      <c r="D12" s="201">
        <f>'2026'!O29</f>
        <v>0</v>
      </c>
      <c r="E12" s="202">
        <f t="shared" ref="E12:E14" si="3">C12+D12</f>
        <v>0</v>
      </c>
      <c r="F12" s="201">
        <f>'2026'!P29</f>
        <v>0</v>
      </c>
      <c r="G12" s="202">
        <f t="shared" ref="G12:G14" si="4">E12+F12</f>
        <v>0</v>
      </c>
      <c r="H12" s="177" t="s">
        <v>156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  <c r="Q12" s="6" t="s">
        <v>20</v>
      </c>
      <c r="R12" s="6" t="s">
        <v>21</v>
      </c>
      <c r="S12" s="6" t="s">
        <v>22</v>
      </c>
      <c r="T12" s="6" t="s">
        <v>23</v>
      </c>
      <c r="U12" s="45" t="s">
        <v>42</v>
      </c>
    </row>
    <row r="13" spans="2:21" x14ac:dyDescent="0.2">
      <c r="B13" s="9" t="s">
        <v>40</v>
      </c>
      <c r="C13" s="201">
        <f>'2026'!N34</f>
        <v>0</v>
      </c>
      <c r="D13" s="201">
        <f>'2026'!O34</f>
        <v>0</v>
      </c>
      <c r="E13" s="202">
        <f t="shared" si="3"/>
        <v>0</v>
      </c>
      <c r="F13" s="201">
        <f>'2026'!P34</f>
        <v>0</v>
      </c>
      <c r="G13" s="202">
        <f t="shared" si="4"/>
        <v>0</v>
      </c>
      <c r="H13" s="6" t="s">
        <v>153</v>
      </c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2">
        <f>SUM(I13:T13)</f>
        <v>0</v>
      </c>
    </row>
    <row r="14" spans="2:21" x14ac:dyDescent="0.2">
      <c r="B14" s="26" t="s">
        <v>48</v>
      </c>
      <c r="C14" s="201">
        <f>'2026'!N39</f>
        <v>0</v>
      </c>
      <c r="D14" s="201">
        <f>'2026'!O39</f>
        <v>0</v>
      </c>
      <c r="E14" s="202">
        <f t="shared" si="3"/>
        <v>0</v>
      </c>
      <c r="F14" s="201">
        <f>'2026'!P39</f>
        <v>0</v>
      </c>
      <c r="G14" s="202">
        <f t="shared" si="4"/>
        <v>0</v>
      </c>
      <c r="H14" s="6" t="s">
        <v>154</v>
      </c>
      <c r="I14" s="201">
        <f>I13*0.21</f>
        <v>0</v>
      </c>
      <c r="J14" s="201">
        <f t="shared" ref="J14:T14" si="5">J13*0.21</f>
        <v>0</v>
      </c>
      <c r="K14" s="201">
        <f t="shared" si="5"/>
        <v>0</v>
      </c>
      <c r="L14" s="201">
        <f t="shared" si="5"/>
        <v>0</v>
      </c>
      <c r="M14" s="201">
        <f t="shared" si="5"/>
        <v>0</v>
      </c>
      <c r="N14" s="201">
        <f t="shared" si="5"/>
        <v>0</v>
      </c>
      <c r="O14" s="201">
        <f t="shared" si="5"/>
        <v>0</v>
      </c>
      <c r="P14" s="201">
        <f t="shared" si="5"/>
        <v>0</v>
      </c>
      <c r="Q14" s="201">
        <f t="shared" si="5"/>
        <v>0</v>
      </c>
      <c r="R14" s="201">
        <f t="shared" si="5"/>
        <v>0</v>
      </c>
      <c r="S14" s="201">
        <f t="shared" si="5"/>
        <v>0</v>
      </c>
      <c r="T14" s="201">
        <f t="shared" si="5"/>
        <v>0</v>
      </c>
      <c r="U14" s="202">
        <f>SUM(I14:T14)</f>
        <v>0</v>
      </c>
    </row>
    <row r="15" spans="2:21" x14ac:dyDescent="0.2">
      <c r="B15" s="49" t="s">
        <v>42</v>
      </c>
      <c r="C15" s="49">
        <f>SUM(C11:C14)</f>
        <v>6.7589999999999995</v>
      </c>
      <c r="D15" s="49">
        <f t="shared" ref="D15:G15" si="6">SUM(D11:D14)</f>
        <v>7.02</v>
      </c>
      <c r="E15" s="192">
        <f t="shared" si="6"/>
        <v>13.779</v>
      </c>
      <c r="F15" s="49">
        <f t="shared" si="6"/>
        <v>11.265000000000001</v>
      </c>
      <c r="G15" s="192">
        <f t="shared" si="6"/>
        <v>25.044</v>
      </c>
      <c r="H15" s="49" t="s">
        <v>155</v>
      </c>
      <c r="I15" s="49">
        <f>I13+I14</f>
        <v>0</v>
      </c>
      <c r="J15" s="49">
        <f t="shared" ref="J15:T15" si="7">J13+J14</f>
        <v>0</v>
      </c>
      <c r="K15" s="49">
        <f t="shared" si="7"/>
        <v>0</v>
      </c>
      <c r="L15" s="49">
        <f t="shared" si="7"/>
        <v>0</v>
      </c>
      <c r="M15" s="49">
        <f t="shared" si="7"/>
        <v>0</v>
      </c>
      <c r="N15" s="49">
        <f t="shared" si="7"/>
        <v>0</v>
      </c>
      <c r="O15" s="49">
        <f t="shared" si="7"/>
        <v>0</v>
      </c>
      <c r="P15" s="49">
        <f t="shared" si="7"/>
        <v>0</v>
      </c>
      <c r="Q15" s="49">
        <f t="shared" si="7"/>
        <v>0</v>
      </c>
      <c r="R15" s="49">
        <f t="shared" si="7"/>
        <v>0</v>
      </c>
      <c r="S15" s="49">
        <f t="shared" si="7"/>
        <v>0</v>
      </c>
      <c r="T15" s="49">
        <f t="shared" si="7"/>
        <v>0</v>
      </c>
      <c r="U15" s="192">
        <f>SUM(U13:U14)</f>
        <v>0</v>
      </c>
    </row>
    <row r="17" spans="2:21" x14ac:dyDescent="0.2">
      <c r="B17" s="191">
        <v>2025</v>
      </c>
      <c r="C17" s="6" t="s">
        <v>158</v>
      </c>
      <c r="D17" s="6" t="s">
        <v>159</v>
      </c>
      <c r="E17" s="45" t="s">
        <v>42</v>
      </c>
      <c r="F17" s="6" t="s">
        <v>89</v>
      </c>
      <c r="G17" s="45" t="s">
        <v>42</v>
      </c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</row>
    <row r="18" spans="2:21" x14ac:dyDescent="0.2">
      <c r="B18" s="7" t="s">
        <v>26</v>
      </c>
      <c r="C18" s="201">
        <f>'2025'!N27</f>
        <v>18.081220000000002</v>
      </c>
      <c r="D18" s="201">
        <f>'2025'!O27</f>
        <v>22.966491999999999</v>
      </c>
      <c r="E18" s="202">
        <f>C18+D18</f>
        <v>41.047712000000004</v>
      </c>
      <c r="F18" s="201">
        <f>'2025'!P27</f>
        <v>30.128699999999998</v>
      </c>
      <c r="G18" s="202">
        <f>E18+F18</f>
        <v>71.176411999999999</v>
      </c>
      <c r="H18" s="255" t="s">
        <v>157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</row>
    <row r="19" spans="2:21" x14ac:dyDescent="0.2">
      <c r="B19" s="8" t="s">
        <v>28</v>
      </c>
      <c r="C19" s="201">
        <f>'2025'!N32</f>
        <v>0</v>
      </c>
      <c r="D19" s="201">
        <f>'2025'!O32</f>
        <v>0</v>
      </c>
      <c r="E19" s="202">
        <f t="shared" ref="E19:E21" si="8">C19+D19</f>
        <v>0</v>
      </c>
      <c r="F19" s="201">
        <f>'2025'!P32</f>
        <v>0</v>
      </c>
      <c r="G19" s="202">
        <f t="shared" ref="G19:G21" si="9">E19+F19</f>
        <v>0</v>
      </c>
      <c r="H19" s="177" t="s">
        <v>156</v>
      </c>
      <c r="I19" s="6" t="s">
        <v>12</v>
      </c>
      <c r="J19" s="6" t="s">
        <v>13</v>
      </c>
      <c r="K19" s="6" t="s">
        <v>14</v>
      </c>
      <c r="L19" s="6" t="s">
        <v>15</v>
      </c>
      <c r="M19" s="6" t="s">
        <v>16</v>
      </c>
      <c r="N19" s="6" t="s">
        <v>17</v>
      </c>
      <c r="O19" s="6" t="s">
        <v>18</v>
      </c>
      <c r="P19" s="6" t="s">
        <v>19</v>
      </c>
      <c r="Q19" s="6" t="s">
        <v>20</v>
      </c>
      <c r="R19" s="6" t="s">
        <v>21</v>
      </c>
      <c r="S19" s="6" t="s">
        <v>22</v>
      </c>
      <c r="T19" s="6" t="s">
        <v>23</v>
      </c>
      <c r="U19" s="45" t="s">
        <v>42</v>
      </c>
    </row>
    <row r="20" spans="2:21" x14ac:dyDescent="0.2">
      <c r="B20" s="9" t="s">
        <v>40</v>
      </c>
      <c r="C20" s="201">
        <f>'2025'!N37</f>
        <v>0</v>
      </c>
      <c r="D20" s="201">
        <f>'2025'!O37</f>
        <v>0</v>
      </c>
      <c r="E20" s="202">
        <f t="shared" si="8"/>
        <v>0</v>
      </c>
      <c r="F20" s="201">
        <f>'2025'!P37</f>
        <v>0</v>
      </c>
      <c r="G20" s="202">
        <f t="shared" si="9"/>
        <v>0</v>
      </c>
      <c r="H20" s="6" t="s">
        <v>153</v>
      </c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2">
        <f>SUM(I20:T20)</f>
        <v>0</v>
      </c>
    </row>
    <row r="21" spans="2:21" x14ac:dyDescent="0.2">
      <c r="B21" s="26" t="s">
        <v>48</v>
      </c>
      <c r="C21" s="201">
        <f>'2025'!N42</f>
        <v>0</v>
      </c>
      <c r="D21" s="201">
        <f>'2025'!O42</f>
        <v>0</v>
      </c>
      <c r="E21" s="202">
        <f t="shared" si="8"/>
        <v>0</v>
      </c>
      <c r="F21" s="201">
        <f>'2025'!P42</f>
        <v>0</v>
      </c>
      <c r="G21" s="202">
        <f t="shared" si="9"/>
        <v>0</v>
      </c>
      <c r="H21" s="6" t="s">
        <v>154</v>
      </c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2">
        <f>SUM(I21:T21)</f>
        <v>0</v>
      </c>
    </row>
    <row r="22" spans="2:21" x14ac:dyDescent="0.2">
      <c r="B22" s="49" t="s">
        <v>42</v>
      </c>
      <c r="C22" s="49">
        <f>SUM(C18:C21)</f>
        <v>18.081220000000002</v>
      </c>
      <c r="D22" s="49">
        <f t="shared" ref="D22" si="10">SUM(D18:D21)</f>
        <v>22.966491999999999</v>
      </c>
      <c r="E22" s="192">
        <f t="shared" ref="E22" si="11">SUM(E18:E21)</f>
        <v>41.047712000000004</v>
      </c>
      <c r="F22" s="49">
        <f t="shared" ref="F22" si="12">SUM(F18:F21)</f>
        <v>30.128699999999998</v>
      </c>
      <c r="G22" s="192">
        <f t="shared" ref="G22" si="13">SUM(G18:G21)</f>
        <v>71.176411999999999</v>
      </c>
      <c r="H22" s="49" t="s">
        <v>155</v>
      </c>
      <c r="I22" s="49">
        <f>I20+I21</f>
        <v>0</v>
      </c>
      <c r="J22" s="49">
        <f t="shared" ref="J22" si="14">J20+J21</f>
        <v>0</v>
      </c>
      <c r="K22" s="49">
        <f t="shared" ref="K22" si="15">K20+K21</f>
        <v>0</v>
      </c>
      <c r="L22" s="49">
        <f t="shared" ref="L22" si="16">L20+L21</f>
        <v>0</v>
      </c>
      <c r="M22" s="49">
        <f t="shared" ref="M22" si="17">M20+M21</f>
        <v>0</v>
      </c>
      <c r="N22" s="49">
        <f t="shared" ref="N22" si="18">N20+N21</f>
        <v>0</v>
      </c>
      <c r="O22" s="49">
        <f t="shared" ref="O22" si="19">O20+O21</f>
        <v>0</v>
      </c>
      <c r="P22" s="49">
        <f t="shared" ref="P22" si="20">P20+P21</f>
        <v>0</v>
      </c>
      <c r="Q22" s="49">
        <f t="shared" ref="Q22" si="21">Q20+Q21</f>
        <v>0</v>
      </c>
      <c r="R22" s="49">
        <f t="shared" ref="R22" si="22">R20+R21</f>
        <v>0</v>
      </c>
      <c r="S22" s="49">
        <f t="shared" ref="S22" si="23">S20+S21</f>
        <v>0</v>
      </c>
      <c r="T22" s="49">
        <f t="shared" ref="T22" si="24">T20+T21</f>
        <v>0</v>
      </c>
      <c r="U22" s="192">
        <f>SUM(U20:U21)</f>
        <v>0</v>
      </c>
    </row>
  </sheetData>
  <mergeCells count="4">
    <mergeCell ref="B2:G2"/>
    <mergeCell ref="H18:U18"/>
    <mergeCell ref="H11:U11"/>
    <mergeCell ref="H4:I4"/>
  </mergeCells>
  <conditionalFormatting sqref="I13:T14">
    <cfRule type="cellIs" dxfId="143" priority="2" operator="equal">
      <formula>0</formula>
    </cfRule>
  </conditionalFormatting>
  <conditionalFormatting sqref="I20:T21">
    <cfRule type="cellIs" dxfId="142" priority="4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C615-3794-48DF-A436-79C81DE6DA63}">
  <dimension ref="B2:S27"/>
  <sheetViews>
    <sheetView workbookViewId="0">
      <pane ySplit="6" topLeftCell="A7" activePane="bottomLeft" state="frozen"/>
      <selection pane="bottomLeft" activeCell="D5" sqref="D5"/>
    </sheetView>
  </sheetViews>
  <sheetFormatPr baseColWidth="10" defaultColWidth="5.140625" defaultRowHeight="12.75" x14ac:dyDescent="0.2"/>
  <cols>
    <col min="1" max="1" width="5.140625" style="235"/>
    <col min="2" max="2" width="5" style="235" bestFit="1" customWidth="1"/>
    <col min="3" max="3" width="12.85546875" style="235" bestFit="1" customWidth="1"/>
    <col min="4" max="6" width="7.85546875" style="235" bestFit="1" customWidth="1"/>
    <col min="7" max="7" width="12.85546875" style="235" bestFit="1" customWidth="1"/>
    <col min="8" max="8" width="7.85546875" style="235" bestFit="1" customWidth="1"/>
    <col min="9" max="9" width="7.7109375" style="235" bestFit="1" customWidth="1"/>
    <col min="10" max="10" width="7.85546875" style="235" bestFit="1" customWidth="1"/>
    <col min="11" max="12" width="5.85546875" style="235" bestFit="1" customWidth="1"/>
    <col min="13" max="13" width="7.7109375" style="235" bestFit="1" customWidth="1"/>
    <col min="14" max="14" width="5.85546875" style="235" bestFit="1" customWidth="1"/>
    <col min="15" max="15" width="7.85546875" style="235" bestFit="1" customWidth="1"/>
    <col min="16" max="16" width="5.85546875" style="235" bestFit="1" customWidth="1"/>
    <col min="17" max="17" width="7.7109375" style="235" bestFit="1" customWidth="1"/>
    <col min="18" max="18" width="5.85546875" style="235" bestFit="1" customWidth="1"/>
    <col min="19" max="19" width="7.85546875" style="235" bestFit="1" customWidth="1"/>
    <col min="20" max="16384" width="5.140625" style="235"/>
  </cols>
  <sheetData>
    <row r="2" spans="2:19" x14ac:dyDescent="0.2">
      <c r="B2" s="262"/>
      <c r="C2" s="259" t="s">
        <v>10</v>
      </c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1"/>
    </row>
    <row r="3" spans="2:19" x14ac:dyDescent="0.2">
      <c r="B3" s="263"/>
      <c r="C3" s="264" t="s">
        <v>26</v>
      </c>
      <c r="D3" s="265"/>
      <c r="E3" s="266"/>
      <c r="F3" s="267" t="s">
        <v>28</v>
      </c>
      <c r="G3" s="268"/>
      <c r="H3" s="269"/>
      <c r="I3" s="270" t="s">
        <v>40</v>
      </c>
      <c r="J3" s="271"/>
      <c r="K3" s="272"/>
      <c r="L3" s="256" t="s">
        <v>48</v>
      </c>
      <c r="M3" s="257"/>
      <c r="N3" s="258"/>
      <c r="O3" s="164" t="s">
        <v>111</v>
      </c>
    </row>
    <row r="4" spans="2:19" x14ac:dyDescent="0.2">
      <c r="B4" s="83"/>
      <c r="C4" s="2" t="s">
        <v>142</v>
      </c>
      <c r="D4" s="2" t="s">
        <v>173</v>
      </c>
      <c r="E4" s="163" t="s">
        <v>143</v>
      </c>
      <c r="F4" s="2" t="s">
        <v>142</v>
      </c>
      <c r="G4" s="2" t="s">
        <v>173</v>
      </c>
      <c r="H4" s="163" t="s">
        <v>143</v>
      </c>
      <c r="I4" s="2" t="s">
        <v>142</v>
      </c>
      <c r="J4" s="2" t="s">
        <v>173</v>
      </c>
      <c r="K4" s="163" t="s">
        <v>143</v>
      </c>
      <c r="L4" s="2" t="s">
        <v>142</v>
      </c>
      <c r="M4" s="2" t="s">
        <v>173</v>
      </c>
      <c r="N4" s="163" t="s">
        <v>143</v>
      </c>
      <c r="O4" s="165" t="s">
        <v>42</v>
      </c>
    </row>
    <row r="5" spans="2:19" x14ac:dyDescent="0.2">
      <c r="B5" s="195" t="s">
        <v>42</v>
      </c>
      <c r="C5" s="96">
        <f>D27+D20</f>
        <v>225</v>
      </c>
      <c r="D5" s="96">
        <f>E27+E20</f>
        <v>42.75</v>
      </c>
      <c r="E5" s="236">
        <f>F27+F20</f>
        <v>182.25</v>
      </c>
      <c r="F5" s="96">
        <f>H27+H20</f>
        <v>0</v>
      </c>
      <c r="G5" s="96">
        <f>I27+I20</f>
        <v>0</v>
      </c>
      <c r="H5" s="236">
        <f>J27+J20</f>
        <v>0</v>
      </c>
      <c r="I5" s="96">
        <f>L27+L20</f>
        <v>0</v>
      </c>
      <c r="J5" s="96">
        <f>M27+M20</f>
        <v>0</v>
      </c>
      <c r="K5" s="236">
        <f>N27+N20</f>
        <v>0</v>
      </c>
      <c r="L5" s="96">
        <f>P27+P20</f>
        <v>0</v>
      </c>
      <c r="M5" s="96">
        <f>Q27+Q20</f>
        <v>0</v>
      </c>
      <c r="N5" s="236">
        <f>R27+R20</f>
        <v>0</v>
      </c>
      <c r="O5" s="196">
        <f>S27+S20</f>
        <v>182.25</v>
      </c>
    </row>
    <row r="6" spans="2:19" s="237" customFormat="1" x14ac:dyDescent="0.2"/>
    <row r="7" spans="2:19" x14ac:dyDescent="0.2">
      <c r="B7" s="262">
        <v>2026</v>
      </c>
      <c r="C7" s="259" t="s">
        <v>10</v>
      </c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1"/>
    </row>
    <row r="8" spans="2:19" x14ac:dyDescent="0.2">
      <c r="B8" s="263"/>
      <c r="C8" s="264" t="s">
        <v>26</v>
      </c>
      <c r="D8" s="265"/>
      <c r="E8" s="265"/>
      <c r="F8" s="266"/>
      <c r="G8" s="267" t="s">
        <v>28</v>
      </c>
      <c r="H8" s="268"/>
      <c r="I8" s="268"/>
      <c r="J8" s="269"/>
      <c r="K8" s="270" t="s">
        <v>40</v>
      </c>
      <c r="L8" s="271"/>
      <c r="M8" s="271"/>
      <c r="N8" s="272"/>
      <c r="O8" s="256" t="s">
        <v>48</v>
      </c>
      <c r="P8" s="257"/>
      <c r="Q8" s="257"/>
      <c r="R8" s="258"/>
      <c r="S8" s="164" t="s">
        <v>111</v>
      </c>
    </row>
    <row r="9" spans="2:19" x14ac:dyDescent="0.2">
      <c r="B9" s="83" t="s">
        <v>74</v>
      </c>
      <c r="C9" s="162" t="s">
        <v>24</v>
      </c>
      <c r="D9" s="2" t="s">
        <v>142</v>
      </c>
      <c r="E9" s="2" t="s">
        <v>173</v>
      </c>
      <c r="F9" s="163" t="s">
        <v>143</v>
      </c>
      <c r="G9" s="162" t="s">
        <v>24</v>
      </c>
      <c r="H9" s="2" t="s">
        <v>142</v>
      </c>
      <c r="I9" s="2" t="s">
        <v>173</v>
      </c>
      <c r="J9" s="163" t="s">
        <v>143</v>
      </c>
      <c r="K9" s="162" t="s">
        <v>24</v>
      </c>
      <c r="L9" s="2" t="s">
        <v>142</v>
      </c>
      <c r="M9" s="2" t="s">
        <v>173</v>
      </c>
      <c r="N9" s="163" t="s">
        <v>143</v>
      </c>
      <c r="O9" s="162" t="s">
        <v>24</v>
      </c>
      <c r="P9" s="2" t="s">
        <v>142</v>
      </c>
      <c r="Q9" s="2" t="s">
        <v>173</v>
      </c>
      <c r="R9" s="163" t="s">
        <v>143</v>
      </c>
      <c r="S9" s="165" t="s">
        <v>42</v>
      </c>
    </row>
    <row r="10" spans="2:19" x14ac:dyDescent="0.2">
      <c r="B10" s="83" t="s">
        <v>12</v>
      </c>
      <c r="C10" s="194"/>
      <c r="D10" s="12"/>
      <c r="E10" s="12"/>
      <c r="F10" s="59"/>
      <c r="G10" s="194"/>
      <c r="H10" s="12"/>
      <c r="I10" s="12"/>
      <c r="J10" s="59"/>
      <c r="K10" s="194"/>
      <c r="L10" s="12"/>
      <c r="M10" s="12"/>
      <c r="N10" s="59"/>
      <c r="O10" s="194"/>
      <c r="P10" s="12"/>
      <c r="Q10" s="12"/>
      <c r="R10" s="59"/>
      <c r="S10" s="126"/>
    </row>
    <row r="11" spans="2:19" x14ac:dyDescent="0.2">
      <c r="B11" s="83" t="s">
        <v>13</v>
      </c>
      <c r="C11" s="194"/>
      <c r="D11" s="12"/>
      <c r="E11" s="12"/>
      <c r="F11" s="59"/>
      <c r="G11" s="194"/>
      <c r="H11" s="12"/>
      <c r="I11" s="12"/>
      <c r="J11" s="59"/>
      <c r="K11" s="194"/>
      <c r="L11" s="12"/>
      <c r="M11" s="12"/>
      <c r="N11" s="59"/>
      <c r="O11" s="194"/>
      <c r="P11" s="12"/>
      <c r="Q11" s="12"/>
      <c r="R11" s="59"/>
      <c r="S11" s="126"/>
    </row>
    <row r="12" spans="2:19" x14ac:dyDescent="0.2">
      <c r="B12" s="83" t="s">
        <v>14</v>
      </c>
      <c r="C12" s="194"/>
      <c r="D12" s="12"/>
      <c r="E12" s="12"/>
      <c r="F12" s="59"/>
      <c r="G12" s="194"/>
      <c r="H12" s="12"/>
      <c r="I12" s="12"/>
      <c r="J12" s="59"/>
      <c r="K12" s="194"/>
      <c r="L12" s="12"/>
      <c r="M12" s="12"/>
      <c r="N12" s="59"/>
      <c r="O12" s="194"/>
      <c r="P12" s="12"/>
      <c r="Q12" s="12"/>
      <c r="R12" s="59"/>
      <c r="S12" s="126"/>
    </row>
    <row r="13" spans="2:19" x14ac:dyDescent="0.2">
      <c r="B13" s="83" t="s">
        <v>17</v>
      </c>
      <c r="C13" s="194"/>
      <c r="D13" s="12"/>
      <c r="E13" s="12"/>
      <c r="F13" s="59"/>
      <c r="G13" s="194"/>
      <c r="H13" s="12"/>
      <c r="I13" s="12"/>
      <c r="J13" s="59">
        <f>H13-I13</f>
        <v>0</v>
      </c>
      <c r="K13" s="194"/>
      <c r="L13" s="12"/>
      <c r="M13" s="12"/>
      <c r="N13" s="59">
        <f>L13-M13</f>
        <v>0</v>
      </c>
      <c r="O13" s="194"/>
      <c r="P13" s="12"/>
      <c r="Q13" s="12"/>
      <c r="R13" s="59">
        <f>P13-Q13</f>
        <v>0</v>
      </c>
      <c r="S13" s="126">
        <f t="shared" ref="S13:S19" si="0">F13+J13+N13+R13</f>
        <v>0</v>
      </c>
    </row>
    <row r="14" spans="2:19" x14ac:dyDescent="0.2">
      <c r="B14" s="83" t="s">
        <v>18</v>
      </c>
      <c r="C14" s="194"/>
      <c r="D14" s="12"/>
      <c r="E14" s="12"/>
      <c r="F14" s="59"/>
      <c r="G14" s="194"/>
      <c r="H14" s="12"/>
      <c r="I14" s="12"/>
      <c r="J14" s="59"/>
      <c r="K14" s="194"/>
      <c r="L14" s="12"/>
      <c r="M14" s="12"/>
      <c r="N14" s="59">
        <f t="shared" ref="N14:N19" si="1">L14-M14</f>
        <v>0</v>
      </c>
      <c r="O14" s="194"/>
      <c r="P14" s="12"/>
      <c r="Q14" s="12"/>
      <c r="R14" s="59">
        <f t="shared" ref="R14:R19" si="2">P14-Q14</f>
        <v>0</v>
      </c>
      <c r="S14" s="126">
        <f t="shared" si="0"/>
        <v>0</v>
      </c>
    </row>
    <row r="15" spans="2:19" x14ac:dyDescent="0.2">
      <c r="B15" s="83" t="s">
        <v>19</v>
      </c>
      <c r="C15" s="194"/>
      <c r="D15" s="12"/>
      <c r="E15" s="12"/>
      <c r="F15" s="59">
        <f t="shared" ref="F15:F19" si="3">D15-E15</f>
        <v>0</v>
      </c>
      <c r="G15" s="194"/>
      <c r="H15" s="12"/>
      <c r="I15" s="12"/>
      <c r="J15" s="59">
        <f t="shared" ref="J15:J19" si="4">H15-I15</f>
        <v>0</v>
      </c>
      <c r="K15" s="194"/>
      <c r="L15" s="12"/>
      <c r="M15" s="12"/>
      <c r="N15" s="59">
        <f t="shared" si="1"/>
        <v>0</v>
      </c>
      <c r="O15" s="194"/>
      <c r="P15" s="12"/>
      <c r="Q15" s="12"/>
      <c r="R15" s="59">
        <f t="shared" si="2"/>
        <v>0</v>
      </c>
      <c r="S15" s="126">
        <f t="shared" si="0"/>
        <v>0</v>
      </c>
    </row>
    <row r="16" spans="2:19" x14ac:dyDescent="0.2">
      <c r="B16" s="83" t="s">
        <v>20</v>
      </c>
      <c r="C16" s="194"/>
      <c r="D16" s="12"/>
      <c r="E16" s="12"/>
      <c r="F16" s="59">
        <f t="shared" si="3"/>
        <v>0</v>
      </c>
      <c r="G16" s="194"/>
      <c r="H16" s="12"/>
      <c r="I16" s="12"/>
      <c r="J16" s="59">
        <f t="shared" si="4"/>
        <v>0</v>
      </c>
      <c r="K16" s="194"/>
      <c r="L16" s="12"/>
      <c r="M16" s="12"/>
      <c r="N16" s="59">
        <f t="shared" si="1"/>
        <v>0</v>
      </c>
      <c r="O16" s="194"/>
      <c r="P16" s="12"/>
      <c r="Q16" s="12"/>
      <c r="R16" s="59">
        <f t="shared" si="2"/>
        <v>0</v>
      </c>
      <c r="S16" s="126">
        <f t="shared" si="0"/>
        <v>0</v>
      </c>
    </row>
    <row r="17" spans="2:19" x14ac:dyDescent="0.2">
      <c r="B17" s="83" t="s">
        <v>21</v>
      </c>
      <c r="C17" s="194"/>
      <c r="D17" s="12"/>
      <c r="E17" s="12"/>
      <c r="F17" s="59">
        <f t="shared" si="3"/>
        <v>0</v>
      </c>
      <c r="G17" s="194"/>
      <c r="H17" s="12"/>
      <c r="I17" s="12"/>
      <c r="J17" s="59">
        <f t="shared" si="4"/>
        <v>0</v>
      </c>
      <c r="K17" s="194"/>
      <c r="L17" s="12"/>
      <c r="M17" s="12"/>
      <c r="N17" s="59">
        <f t="shared" si="1"/>
        <v>0</v>
      </c>
      <c r="O17" s="194"/>
      <c r="P17" s="12"/>
      <c r="Q17" s="12"/>
      <c r="R17" s="59">
        <f t="shared" si="2"/>
        <v>0</v>
      </c>
      <c r="S17" s="126">
        <f t="shared" si="0"/>
        <v>0</v>
      </c>
    </row>
    <row r="18" spans="2:19" x14ac:dyDescent="0.2">
      <c r="B18" s="83" t="s">
        <v>22</v>
      </c>
      <c r="C18" s="194"/>
      <c r="D18" s="12"/>
      <c r="E18" s="12"/>
      <c r="F18" s="59">
        <f t="shared" si="3"/>
        <v>0</v>
      </c>
      <c r="G18" s="194"/>
      <c r="H18" s="12"/>
      <c r="I18" s="12"/>
      <c r="J18" s="59">
        <f t="shared" si="4"/>
        <v>0</v>
      </c>
      <c r="K18" s="194"/>
      <c r="L18" s="12"/>
      <c r="M18" s="12"/>
      <c r="N18" s="59">
        <f t="shared" si="1"/>
        <v>0</v>
      </c>
      <c r="O18" s="194"/>
      <c r="P18" s="12"/>
      <c r="Q18" s="12"/>
      <c r="R18" s="59">
        <f t="shared" si="2"/>
        <v>0</v>
      </c>
      <c r="S18" s="126">
        <f t="shared" si="0"/>
        <v>0</v>
      </c>
    </row>
    <row r="19" spans="2:19" x14ac:dyDescent="0.2">
      <c r="B19" s="83" t="s">
        <v>23</v>
      </c>
      <c r="C19" s="194"/>
      <c r="D19" s="12"/>
      <c r="E19" s="12"/>
      <c r="F19" s="59">
        <f t="shared" si="3"/>
        <v>0</v>
      </c>
      <c r="G19" s="194"/>
      <c r="H19" s="12"/>
      <c r="I19" s="12"/>
      <c r="J19" s="59">
        <f t="shared" si="4"/>
        <v>0</v>
      </c>
      <c r="K19" s="194"/>
      <c r="L19" s="12"/>
      <c r="M19" s="12"/>
      <c r="N19" s="59">
        <f t="shared" si="1"/>
        <v>0</v>
      </c>
      <c r="O19" s="194"/>
      <c r="P19" s="12"/>
      <c r="Q19" s="12"/>
      <c r="R19" s="59">
        <f t="shared" si="2"/>
        <v>0</v>
      </c>
      <c r="S19" s="126">
        <f t="shared" si="0"/>
        <v>0</v>
      </c>
    </row>
    <row r="20" spans="2:19" x14ac:dyDescent="0.2">
      <c r="B20" s="197"/>
      <c r="C20" s="213" t="s">
        <v>42</v>
      </c>
      <c r="D20" s="96">
        <f>SUM(D10:D19)</f>
        <v>0</v>
      </c>
      <c r="E20" s="96">
        <f>SUM(E10:E19)</f>
        <v>0</v>
      </c>
      <c r="F20" s="238">
        <f>SUM(F10:F19)</f>
        <v>0</v>
      </c>
      <c r="G20" s="213" t="s">
        <v>42</v>
      </c>
      <c r="H20" s="96">
        <f>SUM(H10:H19)</f>
        <v>0</v>
      </c>
      <c r="I20" s="96">
        <f>SUM(I10:I19)</f>
        <v>0</v>
      </c>
      <c r="J20" s="238">
        <f>SUM(J10:J19)</f>
        <v>0</v>
      </c>
      <c r="K20" s="213" t="s">
        <v>42</v>
      </c>
      <c r="L20" s="96">
        <f>SUM(L10:L19)</f>
        <v>0</v>
      </c>
      <c r="M20" s="96">
        <f>SUM(M10:M19)</f>
        <v>0</v>
      </c>
      <c r="N20" s="238">
        <f>SUM(N10:N19)</f>
        <v>0</v>
      </c>
      <c r="O20" s="213" t="s">
        <v>42</v>
      </c>
      <c r="P20" s="96">
        <f>SUM(P10:P19)</f>
        <v>0</v>
      </c>
      <c r="Q20" s="96">
        <f>SUM(Q10:Q19)</f>
        <v>0</v>
      </c>
      <c r="R20" s="238">
        <f>SUM(R10:R19)</f>
        <v>0</v>
      </c>
      <c r="S20" s="196">
        <f>SUM(S13:S19)</f>
        <v>0</v>
      </c>
    </row>
    <row r="22" spans="2:19" x14ac:dyDescent="0.2">
      <c r="B22" s="262">
        <v>2025</v>
      </c>
      <c r="C22" s="259" t="s">
        <v>10</v>
      </c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1"/>
    </row>
    <row r="23" spans="2:19" x14ac:dyDescent="0.2">
      <c r="B23" s="263"/>
      <c r="C23" s="264" t="s">
        <v>26</v>
      </c>
      <c r="D23" s="265"/>
      <c r="E23" s="265"/>
      <c r="F23" s="266"/>
      <c r="G23" s="267" t="s">
        <v>28</v>
      </c>
      <c r="H23" s="268"/>
      <c r="I23" s="268"/>
      <c r="J23" s="269"/>
      <c r="K23" s="270" t="s">
        <v>40</v>
      </c>
      <c r="L23" s="271"/>
      <c r="M23" s="271"/>
      <c r="N23" s="272"/>
      <c r="O23" s="256" t="s">
        <v>48</v>
      </c>
      <c r="P23" s="257"/>
      <c r="Q23" s="257"/>
      <c r="R23" s="258"/>
      <c r="S23" s="164" t="s">
        <v>111</v>
      </c>
    </row>
    <row r="24" spans="2:19" x14ac:dyDescent="0.2">
      <c r="B24" s="83" t="s">
        <v>74</v>
      </c>
      <c r="C24" s="162" t="s">
        <v>24</v>
      </c>
      <c r="D24" s="2" t="s">
        <v>142</v>
      </c>
      <c r="E24" s="2" t="s">
        <v>173</v>
      </c>
      <c r="F24" s="163" t="s">
        <v>143</v>
      </c>
      <c r="G24" s="162" t="s">
        <v>24</v>
      </c>
      <c r="H24" s="2" t="s">
        <v>142</v>
      </c>
      <c r="I24" s="2" t="s">
        <v>173</v>
      </c>
      <c r="J24" s="163" t="s">
        <v>143</v>
      </c>
      <c r="K24" s="162" t="s">
        <v>24</v>
      </c>
      <c r="L24" s="2" t="s">
        <v>142</v>
      </c>
      <c r="M24" s="2" t="s">
        <v>173</v>
      </c>
      <c r="N24" s="163" t="s">
        <v>143</v>
      </c>
      <c r="O24" s="162" t="s">
        <v>24</v>
      </c>
      <c r="P24" s="2" t="s">
        <v>142</v>
      </c>
      <c r="Q24" s="2" t="s">
        <v>173</v>
      </c>
      <c r="R24" s="163" t="s">
        <v>143</v>
      </c>
      <c r="S24" s="165" t="s">
        <v>42</v>
      </c>
    </row>
    <row r="25" spans="2:19" x14ac:dyDescent="0.2">
      <c r="B25" s="83" t="s">
        <v>18</v>
      </c>
      <c r="C25" s="194"/>
      <c r="D25" s="12"/>
      <c r="E25" s="12"/>
      <c r="F25" s="59"/>
      <c r="G25" s="194"/>
      <c r="H25" s="12"/>
      <c r="I25" s="12"/>
      <c r="J25" s="59"/>
      <c r="K25" s="194"/>
      <c r="L25" s="12"/>
      <c r="M25" s="12"/>
      <c r="N25" s="59">
        <f t="shared" ref="N25:N26" si="5">L25-M25</f>
        <v>0</v>
      </c>
      <c r="O25" s="194"/>
      <c r="P25" s="12"/>
      <c r="Q25" s="12"/>
      <c r="R25" s="59">
        <f t="shared" ref="R25:R26" si="6">P25-Q25</f>
        <v>0</v>
      </c>
      <c r="S25" s="126">
        <f t="shared" ref="S25:S26" si="7">F25+J25+N25+R25</f>
        <v>0</v>
      </c>
    </row>
    <row r="26" spans="2:19" x14ac:dyDescent="0.2">
      <c r="B26" s="83" t="s">
        <v>23</v>
      </c>
      <c r="C26" s="194" t="s">
        <v>162</v>
      </c>
      <c r="D26" s="12">
        <v>225</v>
      </c>
      <c r="E26" s="12">
        <v>42.75</v>
      </c>
      <c r="F26" s="59">
        <f t="shared" ref="F26" si="8">D26-E26</f>
        <v>182.25</v>
      </c>
      <c r="G26" s="194"/>
      <c r="H26" s="12"/>
      <c r="I26" s="12"/>
      <c r="J26" s="59"/>
      <c r="K26" s="194"/>
      <c r="L26" s="12"/>
      <c r="M26" s="12"/>
      <c r="N26" s="59">
        <f t="shared" si="5"/>
        <v>0</v>
      </c>
      <c r="O26" s="194"/>
      <c r="P26" s="12"/>
      <c r="Q26" s="12"/>
      <c r="R26" s="59">
        <f t="shared" si="6"/>
        <v>0</v>
      </c>
      <c r="S26" s="126">
        <f t="shared" si="7"/>
        <v>182.25</v>
      </c>
    </row>
    <row r="27" spans="2:19" x14ac:dyDescent="0.2">
      <c r="B27" s="197"/>
      <c r="C27" s="213" t="s">
        <v>42</v>
      </c>
      <c r="D27" s="96">
        <f>SUM(D25:D26)</f>
        <v>225</v>
      </c>
      <c r="E27" s="96">
        <f>SUM(E25:E26)</f>
        <v>42.75</v>
      </c>
      <c r="F27" s="238">
        <f>SUM(F25:F26)</f>
        <v>182.25</v>
      </c>
      <c r="G27" s="213" t="s">
        <v>42</v>
      </c>
      <c r="H27" s="96">
        <f>SUM(H25:H26)</f>
        <v>0</v>
      </c>
      <c r="I27" s="96">
        <f>SUM(I25:I26)</f>
        <v>0</v>
      </c>
      <c r="J27" s="238">
        <f>SUM(J25:J26)</f>
        <v>0</v>
      </c>
      <c r="K27" s="213" t="s">
        <v>42</v>
      </c>
      <c r="L27" s="96">
        <f>SUM(L25:L26)</f>
        <v>0</v>
      </c>
      <c r="M27" s="96">
        <f>SUM(M25:M26)</f>
        <v>0</v>
      </c>
      <c r="N27" s="238">
        <f>SUM(N25:N26)</f>
        <v>0</v>
      </c>
      <c r="O27" s="213" t="s">
        <v>42</v>
      </c>
      <c r="P27" s="96">
        <f>SUM(P25:P26)</f>
        <v>0</v>
      </c>
      <c r="Q27" s="96">
        <f>SUM(Q25:Q26)</f>
        <v>0</v>
      </c>
      <c r="R27" s="238">
        <f>SUM(R25:R26)</f>
        <v>0</v>
      </c>
      <c r="S27" s="196">
        <f>SUM(S25:S26)</f>
        <v>182.25</v>
      </c>
    </row>
  </sheetData>
  <mergeCells count="18">
    <mergeCell ref="B22:B23"/>
    <mergeCell ref="C22:S22"/>
    <mergeCell ref="C23:F23"/>
    <mergeCell ref="G23:J23"/>
    <mergeCell ref="K23:N23"/>
    <mergeCell ref="O23:R23"/>
    <mergeCell ref="B7:B8"/>
    <mergeCell ref="C7:S7"/>
    <mergeCell ref="C8:F8"/>
    <mergeCell ref="G8:J8"/>
    <mergeCell ref="K8:N8"/>
    <mergeCell ref="O8:R8"/>
    <mergeCell ref="L3:N3"/>
    <mergeCell ref="C2:O2"/>
    <mergeCell ref="B2:B3"/>
    <mergeCell ref="C3:E3"/>
    <mergeCell ref="F3:H3"/>
    <mergeCell ref="I3:K3"/>
  </mergeCells>
  <phoneticPr fontId="17" type="noConversion"/>
  <conditionalFormatting sqref="C10:S19">
    <cfRule type="cellIs" dxfId="141" priority="1" operator="equal">
      <formula>0</formula>
    </cfRule>
    <cfRule type="cellIs" dxfId="140" priority="2" operator="lessThan">
      <formula>0</formula>
    </cfRule>
  </conditionalFormatting>
  <conditionalFormatting sqref="C25:S26">
    <cfRule type="cellIs" dxfId="139" priority="22" operator="equal">
      <formula>0</formula>
    </cfRule>
    <cfRule type="cellIs" dxfId="138" priority="2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A007-AB3C-4B65-830B-663BB950BE1B}">
  <dimension ref="B2:AA75"/>
  <sheetViews>
    <sheetView workbookViewId="0">
      <selection activeCell="J61" sqref="J61"/>
    </sheetView>
  </sheetViews>
  <sheetFormatPr baseColWidth="10" defaultColWidth="3.28515625" defaultRowHeight="12.75" x14ac:dyDescent="0.2"/>
  <cols>
    <col min="1" max="1" width="3.28515625" style="216"/>
    <col min="2" max="2" width="6.42578125" style="216" bestFit="1" customWidth="1"/>
    <col min="3" max="3" width="12.85546875" style="232" bestFit="1" customWidth="1"/>
    <col min="4" max="4" width="10.7109375" style="216" bestFit="1" customWidth="1"/>
    <col min="5" max="5" width="11.28515625" style="216" bestFit="1" customWidth="1"/>
    <col min="6" max="6" width="7.7109375" style="219" bestFit="1" customWidth="1"/>
    <col min="7" max="7" width="9.28515625" style="233" bestFit="1" customWidth="1"/>
    <col min="8" max="8" width="11.28515625" style="232" bestFit="1" customWidth="1"/>
    <col min="9" max="9" width="10.5703125" style="234" bestFit="1" customWidth="1"/>
    <col min="10" max="10" width="8.7109375" style="234" bestFit="1" customWidth="1"/>
    <col min="11" max="11" width="10" style="219" bestFit="1" customWidth="1"/>
    <col min="12" max="12" width="9.28515625" style="219" bestFit="1" customWidth="1"/>
    <col min="13" max="13" width="11.28515625" style="219" bestFit="1" customWidth="1"/>
    <col min="14" max="14" width="10.140625" style="216" bestFit="1" customWidth="1"/>
    <col min="15" max="15" width="11.7109375" style="216" bestFit="1" customWidth="1"/>
    <col min="16" max="16" width="7.7109375" style="216" bestFit="1" customWidth="1"/>
    <col min="17" max="17" width="7.85546875" style="216" bestFit="1" customWidth="1"/>
    <col min="18" max="18" width="11.28515625" style="216" bestFit="1" customWidth="1"/>
    <col min="19" max="19" width="9.7109375" style="216" bestFit="1" customWidth="1"/>
    <col min="20" max="20" width="8.7109375" style="216" bestFit="1" customWidth="1"/>
    <col min="21" max="21" width="7.7109375" style="216" bestFit="1" customWidth="1"/>
    <col min="22" max="22" width="3.28515625" style="216" bestFit="1" customWidth="1"/>
    <col min="23" max="23" width="6.85546875" style="216" bestFit="1" customWidth="1"/>
    <col min="24" max="24" width="8.140625" style="216" bestFit="1" customWidth="1"/>
    <col min="25" max="25" width="6.85546875" style="216" bestFit="1" customWidth="1"/>
    <col min="26" max="26" width="8.140625" style="216" bestFit="1" customWidth="1"/>
    <col min="27" max="27" width="5.85546875" style="216" bestFit="1" customWidth="1"/>
    <col min="28" max="28" width="8.140625" style="216" bestFit="1" customWidth="1"/>
    <col min="29" max="29" width="5.85546875" style="216" bestFit="1" customWidth="1"/>
    <col min="30" max="30" width="8.140625" style="216" bestFit="1" customWidth="1"/>
    <col min="31" max="31" width="7.7109375" style="216" bestFit="1" customWidth="1"/>
    <col min="32" max="32" width="7.5703125" style="216" bestFit="1" customWidth="1"/>
    <col min="33" max="16384" width="3.28515625" style="216"/>
  </cols>
  <sheetData>
    <row r="2" spans="2:22" x14ac:dyDescent="0.2">
      <c r="B2" s="80" t="s">
        <v>75</v>
      </c>
      <c r="C2" s="199" t="s">
        <v>148</v>
      </c>
      <c r="D2" s="199" t="s">
        <v>147</v>
      </c>
      <c r="E2" s="81" t="s">
        <v>146</v>
      </c>
      <c r="F2" s="82" t="s">
        <v>45</v>
      </c>
      <c r="G2" s="199" t="s">
        <v>72</v>
      </c>
      <c r="H2" s="268" t="s">
        <v>96</v>
      </c>
      <c r="I2" s="268"/>
      <c r="J2" s="199" t="s">
        <v>145</v>
      </c>
      <c r="K2" s="199" t="s">
        <v>111</v>
      </c>
      <c r="L2" s="199" t="s">
        <v>149</v>
      </c>
      <c r="M2" s="167" t="s">
        <v>144</v>
      </c>
    </row>
    <row r="3" spans="2:22" x14ac:dyDescent="0.2">
      <c r="B3" s="174">
        <v>2026</v>
      </c>
      <c r="C3" s="168">
        <f>C18+H18+M18+R18</f>
        <v>5639.259</v>
      </c>
      <c r="D3" s="168">
        <f>D18+I18+N18+S18</f>
        <v>5831.7150000000001</v>
      </c>
      <c r="E3" s="168">
        <f>E18+J18+O18+T18</f>
        <v>192.45600000000002</v>
      </c>
      <c r="F3" s="169">
        <f>E3/C3</f>
        <v>3.4127888078912497E-2</v>
      </c>
      <c r="G3" s="170">
        <f>G18+L18+Q18+V18</f>
        <v>1</v>
      </c>
      <c r="H3" s="171" cm="1">
        <f t="array" ref="H3">_xlfn.IFS(E3&lt;=6000,E3*0.19,IF(E3&gt;6000,E3&lt;=50000),E3*0.21,IF(E3&gt;50000,E3&lt;=200000),E3*0.23,IF(E3&gt;200000,E3&lt;=300000),E3*0.27,E3&gt;300000,E3*0.28)</f>
        <v>36.566640000000007</v>
      </c>
      <c r="I3" s="172" t="str" cm="1">
        <f t="array" ref="I3">_xlfn.IFS(G3&lt;=6000,"19%",IF(G3&gt;6000,G3&lt;=50000),"21%",IF(G3&gt;50000,G3&lt;=200000),"23%",IF(G3&gt;200000,G3&lt;=300000),"27%",G3&gt;300000,"28%")</f>
        <v>19%</v>
      </c>
      <c r="J3" s="217">
        <f>E3-H3</f>
        <v>155.88936000000001</v>
      </c>
      <c r="K3" s="168">
        <f>Dividendos!S20</f>
        <v>0</v>
      </c>
      <c r="L3" s="168">
        <f>Comisiones!U15</f>
        <v>0</v>
      </c>
      <c r="M3" s="173">
        <f>J3+K3-L3</f>
        <v>155.88936000000001</v>
      </c>
    </row>
    <row r="4" spans="2:22" x14ac:dyDescent="0.2">
      <c r="B4" s="161">
        <v>2026</v>
      </c>
      <c r="C4" s="273" t="s">
        <v>26</v>
      </c>
      <c r="D4" s="274"/>
      <c r="E4" s="274"/>
      <c r="F4" s="274"/>
      <c r="G4" s="275"/>
      <c r="H4" s="276" t="s">
        <v>28</v>
      </c>
      <c r="I4" s="277"/>
      <c r="J4" s="277"/>
      <c r="K4" s="277"/>
      <c r="L4" s="278"/>
      <c r="M4" s="279" t="s">
        <v>40</v>
      </c>
      <c r="N4" s="280"/>
      <c r="O4" s="280"/>
      <c r="P4" s="280"/>
      <c r="Q4" s="281"/>
      <c r="R4" s="282" t="s">
        <v>48</v>
      </c>
      <c r="S4" s="283"/>
      <c r="T4" s="283"/>
      <c r="U4" s="283"/>
      <c r="V4" s="284"/>
    </row>
    <row r="5" spans="2:22" x14ac:dyDescent="0.2">
      <c r="B5" s="83" t="s">
        <v>74</v>
      </c>
      <c r="C5" s="85" t="s">
        <v>41</v>
      </c>
      <c r="D5" s="6" t="s">
        <v>71</v>
      </c>
      <c r="E5" s="4" t="s">
        <v>70</v>
      </c>
      <c r="F5" s="5" t="s">
        <v>45</v>
      </c>
      <c r="G5" s="86" t="s">
        <v>72</v>
      </c>
      <c r="H5" s="85" t="s">
        <v>41</v>
      </c>
      <c r="I5" s="6" t="s">
        <v>71</v>
      </c>
      <c r="J5" s="4" t="s">
        <v>6</v>
      </c>
      <c r="K5" s="5" t="s">
        <v>45</v>
      </c>
      <c r="L5" s="86" t="s">
        <v>72</v>
      </c>
      <c r="M5" s="85" t="s">
        <v>41</v>
      </c>
      <c r="N5" s="6" t="s">
        <v>71</v>
      </c>
      <c r="O5" s="4" t="s">
        <v>6</v>
      </c>
      <c r="P5" s="5" t="s">
        <v>45</v>
      </c>
      <c r="Q5" s="86" t="s">
        <v>72</v>
      </c>
      <c r="R5" s="85" t="s">
        <v>41</v>
      </c>
      <c r="S5" s="6" t="s">
        <v>71</v>
      </c>
      <c r="T5" s="4" t="s">
        <v>6</v>
      </c>
      <c r="U5" s="5" t="s">
        <v>45</v>
      </c>
      <c r="V5" s="86" t="s">
        <v>72</v>
      </c>
    </row>
    <row r="6" spans="2:22" x14ac:dyDescent="0.2">
      <c r="B6" s="83" t="s">
        <v>12</v>
      </c>
      <c r="C6" s="218">
        <f>SUMIF(S21:S22,"Ene",N21:N22)+SUMIF(S21:S22,"Ene",H21:H22)</f>
        <v>0</v>
      </c>
      <c r="D6" s="219">
        <f>(SUMIF(S21:S22,"Ene",L21:L22))-((SUMIF(S21:S22,"Ene",P21:P22)+SUMIF(S21:S22,"Ene",O21:O22)))</f>
        <v>0</v>
      </c>
      <c r="E6" s="219">
        <f>SUMIF(S21:S22,"Ene",Q21:Q22)</f>
        <v>0</v>
      </c>
      <c r="F6" s="220"/>
      <c r="G6" s="221">
        <f>COUNTIF(S21:S22,"Ene")</f>
        <v>0</v>
      </c>
      <c r="H6" s="218">
        <f>SUMIF(S26:S27,"Ene",N26:N27)+SUMIF(S26:S27,"Ene",H26:H27)</f>
        <v>0</v>
      </c>
      <c r="I6" s="219">
        <f>(SUMIF(S26:S27,"Ene",L26:L27))-((SUMIF(S26:S27,"Ene",P26:P27)+SUMIF(S26:S27,"Ene",O26:O27)))</f>
        <v>0</v>
      </c>
      <c r="J6" s="219">
        <f>SUMIF(S26:S27,"Ene",Q26:Q27)</f>
        <v>0</v>
      </c>
      <c r="K6" s="220" t="e">
        <f>J6/H6</f>
        <v>#DIV/0!</v>
      </c>
      <c r="L6" s="221">
        <f>COUNTIF(S26:S27,"Ene")</f>
        <v>0</v>
      </c>
      <c r="M6" s="218">
        <f>SUMIF(S31:S32,"Ene",N31:N32)+SUMIF(S31:S32,"Ene",H31:H32)</f>
        <v>0</v>
      </c>
      <c r="N6" s="219">
        <f>(SUMIF(S31:S32,"Ene",L31:L32))-((SUMIF(S31:S32,"Ene",P31:P32)+SUMIF(S31:S32,"Ene",O31:O32)))</f>
        <v>0</v>
      </c>
      <c r="O6" s="219">
        <f>SUMIF(S31:S32,"Ene",Q31:Q32)</f>
        <v>0</v>
      </c>
      <c r="P6" s="220" t="e">
        <f t="shared" ref="P6" si="0">O6/M6</f>
        <v>#DIV/0!</v>
      </c>
      <c r="Q6" s="221">
        <f>COUNTIF(S31:S32,"Ene")</f>
        <v>0</v>
      </c>
      <c r="R6" s="218">
        <f>SUMIF(S36:S37,"Ene",N36:N37)+SUMIF(S36:S37,"Ene",H36:H37)</f>
        <v>0</v>
      </c>
      <c r="S6" s="219">
        <f>(SUMIF(S36:S37,"Ene",L36:L37))-((SUMIF(S36:S37,"Ene",P36:P37)+SUMIF(S36:S37,"Ene",O36:O37)))</f>
        <v>0</v>
      </c>
      <c r="T6" s="219">
        <f>SUMIF(S36:S37,"Ene",Q36:Q37)</f>
        <v>0</v>
      </c>
      <c r="U6" s="220" t="e">
        <f t="shared" ref="U6" si="1">T6/R6</f>
        <v>#DIV/0!</v>
      </c>
      <c r="V6" s="221">
        <f>COUNTIF(S36:S37,"Ene")</f>
        <v>0</v>
      </c>
    </row>
    <row r="7" spans="2:22" x14ac:dyDescent="0.2">
      <c r="B7" s="83" t="s">
        <v>13</v>
      </c>
      <c r="C7" s="218">
        <f>SUMIF(S21:S22,"Feb",N21:N22)+SUMIF(S21:S22,"Feb",H21:H22)</f>
        <v>0</v>
      </c>
      <c r="D7" s="219">
        <f>(SUMIF(S21:S22,"Feb",L21:L22))-((SUMIF(S21:S22,"Feb",P21:P22)+SUMIF(S21:S22,"Feb",O21:O22)))</f>
        <v>0</v>
      </c>
      <c r="E7" s="219">
        <f>SUMIF(S21:S22,"Feb",Q21:Q22)</f>
        <v>0</v>
      </c>
      <c r="F7" s="220"/>
      <c r="G7" s="221">
        <f>COUNTIF(S21:S22,"Feb")</f>
        <v>0</v>
      </c>
      <c r="H7" s="218">
        <f>SUMIF(S26:S27,"Feb",N26:N27)+SUMIF(S26:S27,"Feb",H26:H27)</f>
        <v>0</v>
      </c>
      <c r="I7" s="219">
        <f>(SUMIF(S26:S27,"Feb",L26:L27))-((SUMIF(S26:S27,"Feb",P26:P27)+SUMIF(S26:S27,"Feb",O26:O27)))</f>
        <v>0</v>
      </c>
      <c r="J7" s="219">
        <f>SUMIF(S26:S27,"Feb",Q26:Q27)</f>
        <v>0</v>
      </c>
      <c r="K7" s="220"/>
      <c r="L7" s="221">
        <f>COUNTIF(S26:S27,"Feb")</f>
        <v>0</v>
      </c>
      <c r="M7" s="218">
        <f>SUMIF(S31:S32,"Feb",N31:N32)+SUMIF(S31:S32,"Feb",H31:H32)</f>
        <v>0</v>
      </c>
      <c r="N7" s="219">
        <f>(SUMIF(S31:S32,"Feb",L31:L32))-((SUMIF(S31:S32,"Feb",P31:P32)+SUMIF(S31:S32,"Feb",O31:O32)))</f>
        <v>0</v>
      </c>
      <c r="O7" s="219">
        <f>SUMIF(S31:S32,"Feb",Q31:Q32)</f>
        <v>0</v>
      </c>
      <c r="P7" s="220"/>
      <c r="Q7" s="221">
        <f>COUNTIF(S31:S32,"Feb")</f>
        <v>0</v>
      </c>
      <c r="R7" s="218">
        <f>SUMIF(S36:S37,"Feb",N36:N37)+SUMIF(S36:S37,"Feb",H36:H37)</f>
        <v>0</v>
      </c>
      <c r="S7" s="219">
        <f>(SUMIF(S36:S37,"Feb",L36:L37))-((SUMIF(S36:S37,"Feb",P36:P37)+SUMIF(S36:S37,"Feb",O36:O37)))</f>
        <v>0</v>
      </c>
      <c r="T7" s="219">
        <f>SUMIF(S36:S37,"Feb",Q36:Q37)</f>
        <v>0</v>
      </c>
      <c r="U7" s="220"/>
      <c r="V7" s="221">
        <f>COUNTIF(S36:S37,"Feb")</f>
        <v>0</v>
      </c>
    </row>
    <row r="8" spans="2:22" x14ac:dyDescent="0.2">
      <c r="B8" s="83" t="s">
        <v>14</v>
      </c>
      <c r="C8" s="218">
        <f>SUMIF(S21:S22,"Mar",N21:N22)+SUMIF(S21:S22,"Mar",H21:H22)</f>
        <v>0</v>
      </c>
      <c r="D8" s="219">
        <f>(SUMIF(S21:S22,"Mar",L21:L22))-((SUMIF(S21:S22,"Mar",P21:P22)+SUMIF(S21:S22,"Mar",O21:O22)))</f>
        <v>0</v>
      </c>
      <c r="E8" s="219">
        <f>SUMIF(S21:S22,"Mar",Q21:Q22)</f>
        <v>0</v>
      </c>
      <c r="F8" s="220"/>
      <c r="G8" s="221">
        <f>COUNTIF(S21:S22,"Mar")</f>
        <v>0</v>
      </c>
      <c r="H8" s="218">
        <f>SUMIF(S26:S27,"Mar",N26:N27)+SUMIF(S26:S27,"Mar",H26:H27)</f>
        <v>0</v>
      </c>
      <c r="I8" s="219">
        <f>(SUMIF(S26:S27,"Mar",L26:L27))-((SUMIF(S26:S27,"Mar",P26:P27)+SUMIF(S26:S27,"Mar",O26:O27)))</f>
        <v>0</v>
      </c>
      <c r="J8" s="219">
        <f>SUMIF(S26:S27,"Mar",Q26:Q27)</f>
        <v>0</v>
      </c>
      <c r="K8" s="220"/>
      <c r="L8" s="221">
        <f>COUNTIF(S26:S27,"Mar")</f>
        <v>0</v>
      </c>
      <c r="M8" s="218">
        <f>SUMIF(S31:S32,"Mar",N31:N32)+SUMIF(S31:S32,"Mar",H31:H32)</f>
        <v>0</v>
      </c>
      <c r="N8" s="219">
        <f>(SUMIF(S31:S32,"Mar",L31:L32))-((SUMIF(S31:S32,"Mar",P31:P32)+SUMIF(S31:S32,"Mar",O31:O32)))</f>
        <v>0</v>
      </c>
      <c r="O8" s="219">
        <f>SUMIF(S31:S32,"Mar",Q31:Q32)</f>
        <v>0</v>
      </c>
      <c r="P8" s="220"/>
      <c r="Q8" s="221">
        <f>COUNTIF(S31:S32,"Mar")</f>
        <v>0</v>
      </c>
      <c r="R8" s="218">
        <f>SUMIF(S36:S37,"Mar",N36:N37)+SUMIF(S36:S37,"Mar",H36:H37)</f>
        <v>0</v>
      </c>
      <c r="S8" s="219">
        <f>(SUMIF(S36:S37,"Mar",L36:L37))-((SUMIF(S36:S37,"Mar",P36:P37)+SUMIF(S36:S37,"MAr",O36:O37)))</f>
        <v>0</v>
      </c>
      <c r="T8" s="219">
        <f>SUMIF(S36:S37,"Mar",Q36:Q37)</f>
        <v>0</v>
      </c>
      <c r="U8" s="220"/>
      <c r="V8" s="221">
        <f>COUNTIF(S36:S37,"Mar")</f>
        <v>0</v>
      </c>
    </row>
    <row r="9" spans="2:22" x14ac:dyDescent="0.2">
      <c r="B9" s="83" t="s">
        <v>15</v>
      </c>
      <c r="C9" s="218">
        <f>SUMIF(S21:S22,"Abr",N21:N22)+SUMIF(S21:S22,"Abr",H21:H22)</f>
        <v>5639.259</v>
      </c>
      <c r="D9" s="219">
        <f>(SUMIF(S21:S22,"Abr",L21:L22))-((SUMIF(S21:S22,"Abr",P21:P22)+SUMIF(S21:S22,"Abr",O21:O22)))</f>
        <v>5831.7150000000001</v>
      </c>
      <c r="E9" s="219">
        <f>SUMIF(S21:S22,"Abr",Q21:Q22)</f>
        <v>192.45600000000002</v>
      </c>
      <c r="F9" s="220">
        <f t="shared" ref="F9" si="2">E9/C9</f>
        <v>3.4127888078912497E-2</v>
      </c>
      <c r="G9" s="221">
        <f>COUNTIF(S21:S22,"Abr")</f>
        <v>1</v>
      </c>
      <c r="H9" s="218">
        <f>SUMIF(S26:S27,"Abr",N26:N27)+SUMIF(S26:S27,"Abr",H26:H27)</f>
        <v>0</v>
      </c>
      <c r="I9" s="219">
        <f>(SUMIF(S26:S27,"Abr",L26:L27))-((SUMIF(S26:S27,"Abr",P26:P27)+SUMIF(S26:S27,"Abr",O26:O27)))</f>
        <v>0</v>
      </c>
      <c r="J9" s="219">
        <f>SUMIF(S26:S27,"Abr",Q26:Q27)</f>
        <v>0</v>
      </c>
      <c r="K9" s="220"/>
      <c r="L9" s="221">
        <f>COUNTIF(S26:S27,"Abr")</f>
        <v>0</v>
      </c>
      <c r="M9" s="218">
        <f>SUMIF(S31:S32,"Abr",N31:N32)+SUMIF(S31:S32,"Abr",H31:H32)</f>
        <v>0</v>
      </c>
      <c r="N9" s="219">
        <f>(SUMIF(S31:S32,"Abr",L31:L32))-((SUMIF(S31:S32,"Abr",P31:P32)+SUMIF(S31:S32,"Abr",O31:O32)))</f>
        <v>0</v>
      </c>
      <c r="O9" s="219">
        <f>SUMIF(S31:S32,"Abr",Q31:Q32)</f>
        <v>0</v>
      </c>
      <c r="P9" s="220"/>
      <c r="Q9" s="221">
        <f>COUNTIF(S31:S32,"Abr")</f>
        <v>0</v>
      </c>
      <c r="R9" s="218">
        <f>SUMIF(S36:S37,"Abr",N36:N37)+SUMIF(S36:S37,"Abr",H36:H37)</f>
        <v>0</v>
      </c>
      <c r="S9" s="219">
        <f>(SUMIF(S36:S37,"Abr",L36:L37))-((SUMIF(S36:S37,"Abr",P36:P37)+SUMIF(S36:S37,"Abr",O36:O37)))</f>
        <v>0</v>
      </c>
      <c r="T9" s="219">
        <f>SUMIF(S36:S37,"Abr",Q36:Q37)</f>
        <v>0</v>
      </c>
      <c r="U9" s="220"/>
      <c r="V9" s="221">
        <f>COUNTIF(S36:S37,"Abr")</f>
        <v>0</v>
      </c>
    </row>
    <row r="10" spans="2:22" x14ac:dyDescent="0.2">
      <c r="B10" s="83" t="s">
        <v>16</v>
      </c>
      <c r="C10" s="218">
        <f>SUMIF(S21:S22,"May",N21:N22)+SUMIF(S21:S22,"May",H21:H22)</f>
        <v>0</v>
      </c>
      <c r="D10" s="219">
        <f>(SUMIF(S21:S22,"May",L21:L22))-((SUMIF(S21:S22,"May",P21:P22)+SUMIF(S21:S22,"May",O21:O22)))</f>
        <v>0</v>
      </c>
      <c r="E10" s="219">
        <f>SUMIF(S21:S22,"May",Q21:Q22)</f>
        <v>0</v>
      </c>
      <c r="F10" s="220"/>
      <c r="G10" s="221">
        <f>COUNTIF(S21:S22,"May")</f>
        <v>0</v>
      </c>
      <c r="H10" s="218">
        <f>SUMIF(S26:S27,"May",N26:N27)+SUMIF(S26:S27,"May",H26:H27)</f>
        <v>0</v>
      </c>
      <c r="I10" s="219">
        <f>(SUMIF(S26:S27,"May",L26:L27))-((SUMIF(S26:S27,"My",P26:P27)+SUMIF(S26:S27,"May",O26:O27)))</f>
        <v>0</v>
      </c>
      <c r="J10" s="219">
        <f>SUMIF(S26:S27,"May",Q26:Q27)</f>
        <v>0</v>
      </c>
      <c r="K10" s="220"/>
      <c r="L10" s="221">
        <f>COUNTIF(S26:S27,"May")</f>
        <v>0</v>
      </c>
      <c r="M10" s="218">
        <f>SUMIF(S31:S32,"May",N31:N32)+SUMIF(S31:S32,"May",H31:H32)</f>
        <v>0</v>
      </c>
      <c r="N10" s="219">
        <f>(SUMIF(S31:S32,"May",L31:L32))-((SUMIF(S31:S32,"May",P31:P32)+SUMIF(S31:S32,"May",O31:O32)))</f>
        <v>0</v>
      </c>
      <c r="O10" s="219">
        <f>SUMIF(S31:S32,"May",Q31:Q32)</f>
        <v>0</v>
      </c>
      <c r="P10" s="220"/>
      <c r="Q10" s="221">
        <f>COUNTIF(S31:S32,"May")</f>
        <v>0</v>
      </c>
      <c r="R10" s="218">
        <f>SUMIF(S36:S37,"May",N36:N37)+SUMIF(S36:S37,"May",H36:H37)</f>
        <v>0</v>
      </c>
      <c r="S10" s="219">
        <f>(SUMIF(S36:S37,"May",L36:L37))-((SUMIF(S36:S37,"May",P36:P37)+SUMIF(S36:S37,"May",O36:O37)))</f>
        <v>0</v>
      </c>
      <c r="T10" s="219">
        <f>SUMIF(S36:S37,"May",Q36:Q37)</f>
        <v>0</v>
      </c>
      <c r="U10" s="220"/>
      <c r="V10" s="221">
        <f>COUNTIF(S36:S37,"May")</f>
        <v>0</v>
      </c>
    </row>
    <row r="11" spans="2:22" x14ac:dyDescent="0.2">
      <c r="B11" s="83" t="s">
        <v>17</v>
      </c>
      <c r="C11" s="218">
        <f>SUMIF(S21:S22,"Jun",N21:N22)+SUMIF(S21:S22,"Jun",H21:H22)</f>
        <v>0</v>
      </c>
      <c r="D11" s="219">
        <f>(SUMIF(S21:S22,"Jun",L21:L22))-((SUMIF(S21:S22,"Jun",P21:P22)+SUMIF(S21:S22,"Jun",O21:O22)))</f>
        <v>0</v>
      </c>
      <c r="E11" s="219">
        <f>SUMIF(S21:S22,"Jun",Q21:Q22)</f>
        <v>0</v>
      </c>
      <c r="F11" s="220"/>
      <c r="G11" s="221">
        <f>COUNTIF(S21:S22,"Jun")</f>
        <v>0</v>
      </c>
      <c r="H11" s="218">
        <f>SUMIF(S26:S27,"Jun",N26:N27)+SUMIF(S26:S27,"Jun",H26:H27)</f>
        <v>0</v>
      </c>
      <c r="I11" s="219">
        <f>(SUMIF(S26:S27,"Jun",L26:L27))-((SUMIF(S26:S27,"Jun",P26:P27)+SUMIF(S26:S27,"Jun",O26:O27)))</f>
        <v>0</v>
      </c>
      <c r="J11" s="219">
        <f>SUMIF(S26:S27,"Jun",Q26:Q27)</f>
        <v>0</v>
      </c>
      <c r="K11" s="220"/>
      <c r="L11" s="221">
        <f>COUNTIF(S26:S27,"Jun")</f>
        <v>0</v>
      </c>
      <c r="M11" s="218">
        <f>SUMIF(S31:S32,"Jun",N31:N32)+SUMIF(S31:S32,"Jun",H31:H32)</f>
        <v>0</v>
      </c>
      <c r="N11" s="219">
        <f>(SUMIF(S31:S32,"Jun",L31:L32))-((SUMIF(S31:S32,"Jun",P31:P32)+SUMIF(S31:S32,"Jun",O31:O32)))</f>
        <v>0</v>
      </c>
      <c r="O11" s="219">
        <f>SUMIF(S31:S32,"Jun",Q31:Q32)</f>
        <v>0</v>
      </c>
      <c r="P11" s="220"/>
      <c r="Q11" s="221">
        <f>COUNTIF(S31:S32,"Jun")</f>
        <v>0</v>
      </c>
      <c r="R11" s="218">
        <f>SUMIF(S36:S37,"Jun",N36:N37)+SUMIF(S36:S37,"Jun",H36:H37)</f>
        <v>0</v>
      </c>
      <c r="S11" s="219">
        <f>(SUMIF(S36:S37,"Jun",L36:L37))-((SUMIF(S36:S37,"Jun",P36:P37)+SUMIF(S36:S37,"Jun",O36:O37)))</f>
        <v>0</v>
      </c>
      <c r="T11" s="219">
        <f>SUMIF(S36:S37,"Jun",Q36:Q37)</f>
        <v>0</v>
      </c>
      <c r="U11" s="220"/>
      <c r="V11" s="221">
        <f>COUNTIF(S36:S37,"Jun")</f>
        <v>0</v>
      </c>
    </row>
    <row r="12" spans="2:22" x14ac:dyDescent="0.2">
      <c r="B12" s="83" t="s">
        <v>18</v>
      </c>
      <c r="C12" s="218">
        <f>SUMIF(S21:S22,"Jul",N21:N22)+SUMIF(S21:S22,"Jul",H21:H22)</f>
        <v>0</v>
      </c>
      <c r="D12" s="219">
        <f>(SUMIF(S21:S22,"Jul",L21:L22))-((SUMIF(S21:S22,"Jul",P21:P22)+SUMIF(S21:S22,"Jul",O21:O22)))</f>
        <v>0</v>
      </c>
      <c r="E12" s="219">
        <f>SUMIF(S21:S22,"Jul",Q21:Q22)</f>
        <v>0</v>
      </c>
      <c r="F12" s="220"/>
      <c r="G12" s="221">
        <f>COUNTIF(S21:S22,"Jul")</f>
        <v>0</v>
      </c>
      <c r="H12" s="218">
        <f>SUMIF(S26:S27,"Jul",N26:N27)+SUMIF(S26:S27,"Jul",H26:H27)</f>
        <v>0</v>
      </c>
      <c r="I12" s="219">
        <f>(SUMIF(S26:S27,"Jul",L26:L27))-((SUMIF(S26:S27,"Jul",P26:P27)+SUMIF(S26:S27,"Jul",O26:O27)))</f>
        <v>0</v>
      </c>
      <c r="J12" s="219">
        <f>SUMIF(S26:S27,"Jul",Q26:Q27)</f>
        <v>0</v>
      </c>
      <c r="K12" s="220"/>
      <c r="L12" s="221">
        <f>COUNTIF(S26:S27,"Jul")</f>
        <v>0</v>
      </c>
      <c r="M12" s="218">
        <f>SUMIF(S31:S32,"Jul",N31:N32)+SUMIF(S31:S32,"Jul",H31:H32)</f>
        <v>0</v>
      </c>
      <c r="N12" s="219">
        <f>(SUMIF(S31:S32,"Jul",L31:L32))-((SUMIF(S31:S32,"Jul",P31:P32)+SUMIF(S31:S32,"Jul",O31:O32)))</f>
        <v>0</v>
      </c>
      <c r="O12" s="219">
        <f>SUMIF(S31:S32,"Jul",Q31:Q32)</f>
        <v>0</v>
      </c>
      <c r="P12" s="220"/>
      <c r="Q12" s="221">
        <f>COUNTIF(S31:S32,"Jul")</f>
        <v>0</v>
      </c>
      <c r="R12" s="218">
        <f>SUMIF(S36:S37,"Jul",N36:N37)+SUMIF(S36:S37,"Jul",H36:H37)</f>
        <v>0</v>
      </c>
      <c r="S12" s="219">
        <f>(SUMIF(S36:S37,"Jul",L36:L37))-((SUMIF(S36:S37,"Jul",P36:P37)+SUMIF(S36:S37,"Jul",O36:O37)))</f>
        <v>0</v>
      </c>
      <c r="T12" s="219">
        <f>SUMIF(S36:S37,"Jul",Q36:Q37)</f>
        <v>0</v>
      </c>
      <c r="U12" s="220"/>
      <c r="V12" s="221">
        <f>COUNTIF(S36:S37,"Jul")</f>
        <v>0</v>
      </c>
    </row>
    <row r="13" spans="2:22" x14ac:dyDescent="0.2">
      <c r="B13" s="83" t="s">
        <v>19</v>
      </c>
      <c r="C13" s="218">
        <f>SUMIF(S21:S22,"Ago",N21:N22)+SUMIF(S21:S22,"Ago",H21:H22)</f>
        <v>0</v>
      </c>
      <c r="D13" s="219">
        <f>(SUMIF(S21:S22,"Ago",L21:L22))-((SUMIF(S21:S22,"Ago",P21:P22)+SUMIF(S21:S22,"Ago",O21:O22)))</f>
        <v>0</v>
      </c>
      <c r="E13" s="219">
        <f>SUMIF(S21:S22,"Ago",Q21:Q22)</f>
        <v>0</v>
      </c>
      <c r="F13" s="220"/>
      <c r="G13" s="221">
        <f>COUNTIF(S21:S22,"Ago")</f>
        <v>0</v>
      </c>
      <c r="H13" s="218">
        <f>SUMIF(S26:S27,"Ago",N26:N27)+SUMIF(S26:S27,"Ago",H26:H27)</f>
        <v>0</v>
      </c>
      <c r="I13" s="219">
        <f>(SUMIF(S26:S27,"Ago",L26:L27))-((SUMIF(S26:S27,"Ago",P26:P27)+SUMIF(S26:S27,"Ago",O26:O27)))</f>
        <v>0</v>
      </c>
      <c r="J13" s="219">
        <f>SUMIF(S26:S27,"Ago",Q26:Q27)</f>
        <v>0</v>
      </c>
      <c r="K13" s="220"/>
      <c r="L13" s="221">
        <f>COUNTIF(S26:S27,"Ago")</f>
        <v>0</v>
      </c>
      <c r="M13" s="218">
        <f>SUMIF(S31:S32,"Ago",N31:N32)+SUMIF(S31:S32,"Ago",H31:H32)</f>
        <v>0</v>
      </c>
      <c r="N13" s="219">
        <f>(SUMIF(S31:S32,"Ago",L31:L32))-((SUMIF(S31:S32,"Ago",P31:P32)+SUMIF(S31:S32,"Ago",O31:O32)))</f>
        <v>0</v>
      </c>
      <c r="O13" s="219">
        <f>SUMIF(S31:S32,"Jul",Q31:Q32)</f>
        <v>0</v>
      </c>
      <c r="P13" s="220"/>
      <c r="Q13" s="221">
        <f>COUNTIF(S31:S32,"Ago")</f>
        <v>0</v>
      </c>
      <c r="R13" s="218">
        <f>SUMIF(S36:S37,"Ago",N36:N37)+SUMIF(S36:S37,"Ago",H36:H37)</f>
        <v>0</v>
      </c>
      <c r="S13" s="219">
        <f>(SUMIF(S36:S37,"Ago",L36:L37))-((SUMIF(S36:S37,"Ago",P36:P37)+SUMIF(S36:S37,"Ago",O36:O37)))</f>
        <v>0</v>
      </c>
      <c r="T13" s="219">
        <f>SUMIF(S36:S37,"Ago",Q36:Q37)</f>
        <v>0</v>
      </c>
      <c r="U13" s="220"/>
      <c r="V13" s="221">
        <f>COUNTIF(S36:S37,"Ago")</f>
        <v>0</v>
      </c>
    </row>
    <row r="14" spans="2:22" x14ac:dyDescent="0.2">
      <c r="B14" s="83" t="s">
        <v>20</v>
      </c>
      <c r="C14" s="218">
        <f>SUMIF(S21:S22,"Sep",N21:N22)+SUMIF(S21:S22,"Sep",H21:H22)</f>
        <v>0</v>
      </c>
      <c r="D14" s="219">
        <f>(SUMIF(S21:S22,"Sep",L21:L22))-((SUMIF(S21:S22,"Sep",P21:P22)+SUMIF(S21:S22,"Sep",O21:O22)))</f>
        <v>0</v>
      </c>
      <c r="E14" s="219">
        <f>SUMIF(S21:S22,"Sep",Q21:Q22)</f>
        <v>0</v>
      </c>
      <c r="F14" s="220"/>
      <c r="G14" s="221">
        <f>COUNTIF(S21:S22,"Sep")</f>
        <v>0</v>
      </c>
      <c r="H14" s="218">
        <f>SUMIF(S26:S27,"Sep",N26:N27)+SUMIF(S26:S27,"Sep",H26:H27)</f>
        <v>0</v>
      </c>
      <c r="I14" s="219">
        <f>(SUMIF(S26:S27,"Sep",L26:L27))-((SUMIF(S26:S27,"Sep",P26:P27)+SUMIF(S26:S27,"Sep",O26:O27)))</f>
        <v>0</v>
      </c>
      <c r="J14" s="219">
        <f>SUMIF(S26:S27,"Sep",Q26:Q27)</f>
        <v>0</v>
      </c>
      <c r="K14" s="220"/>
      <c r="L14" s="221">
        <f>COUNTIF(S26:S27,"Sep")</f>
        <v>0</v>
      </c>
      <c r="M14" s="218">
        <f>SUMIF(S31:S32,"Sep",N31:N32)+SUMIF(S31:S32,"Sep",H31:H32)</f>
        <v>0</v>
      </c>
      <c r="N14" s="219">
        <f>(SUMIF(S31:S32,"Sep",L31:L32))-((SUMIF(S31:S32,"Sep",P31:P32)+SUMIF(S31:S32,"Sep",O31:O32)))</f>
        <v>0</v>
      </c>
      <c r="O14" s="219">
        <f>SUMIF(S31:S32,"Sep",Q31:Q32)</f>
        <v>0</v>
      </c>
      <c r="P14" s="220"/>
      <c r="Q14" s="221">
        <f>COUNTIF(S31:S32,"Sep")</f>
        <v>0</v>
      </c>
      <c r="R14" s="218">
        <f>SUMIF(S36:S37,"Sep",N36:N37)+SUMIF(S36:S37,"Sep",H36:H37)</f>
        <v>0</v>
      </c>
      <c r="S14" s="219">
        <f>(SUMIF(S36:S37,"Sep",L36:L37))-((SUMIF(S36:S37,"Sep",P36:P37)+SUMIF(S36:S37,"Sep",O36:O37)))</f>
        <v>0</v>
      </c>
      <c r="T14" s="219">
        <f>SUMIF(S36:S37,"Sep",Q36:Q37)</f>
        <v>0</v>
      </c>
      <c r="U14" s="220"/>
      <c r="V14" s="221">
        <f>COUNTIF(S36:S37,"Sep")</f>
        <v>0</v>
      </c>
    </row>
    <row r="15" spans="2:22" x14ac:dyDescent="0.2">
      <c r="B15" s="83" t="s">
        <v>21</v>
      </c>
      <c r="C15" s="218">
        <f>SUMIF(S21:S22,"Oct",N21:N22)+SUMIF(S21:S22,"Oct",H21:H22)</f>
        <v>0</v>
      </c>
      <c r="D15" s="219">
        <f>(SUMIF(S21:S22,"Oct",L21:L22))-((SUMIF(S21:S22,"Oct",P21:P22)+SUMIF(S21:S22,"OCt",O21:O22)))</f>
        <v>0</v>
      </c>
      <c r="E15" s="219">
        <f>SUMIF(S21:S22,"Oct",Q21:Q22)</f>
        <v>0</v>
      </c>
      <c r="F15" s="220"/>
      <c r="G15" s="221">
        <f>COUNTIF(S21:S21,"Oct")</f>
        <v>0</v>
      </c>
      <c r="H15" s="218">
        <f>SUMIF(S26:S27,"Oct",N26:N27)+SUMIF(S26:S27,"Oct",H26:H27)</f>
        <v>0</v>
      </c>
      <c r="I15" s="219">
        <f>(SUMIF(S26:S27,"Oct",L26:L27))-((SUMIF(S26:S27,"Oct",P26:P27)+SUMIF(S26:S27,"Oct",O26:O27)))</f>
        <v>0</v>
      </c>
      <c r="J15" s="219">
        <f>SUMIF(S26:S27,"Oct",Q26:Q27)</f>
        <v>0</v>
      </c>
      <c r="K15" s="220"/>
      <c r="L15" s="221">
        <f>COUNTIF(S26:S27,"Oct")</f>
        <v>0</v>
      </c>
      <c r="M15" s="218">
        <f>SUMIF(S31:S32,"Oct",N31:N32)+SUMIF(S31:S32,"Oct",H31:H32)</f>
        <v>0</v>
      </c>
      <c r="N15" s="219">
        <f>(SUMIF(S31:S32,"Oct",L31:L32))-((SUMIF(S31:S32,"Oct",P31:P32)+SUMIF(S31:S32,"Oct",O31:O32)))</f>
        <v>0</v>
      </c>
      <c r="O15" s="219">
        <f>SUMIF(S31:S32,"Oct",Q31:Q32)</f>
        <v>0</v>
      </c>
      <c r="P15" s="220"/>
      <c r="Q15" s="221">
        <f>COUNTIF(S31:S32,"Oct")</f>
        <v>0</v>
      </c>
      <c r="R15" s="218">
        <f>SUMIF(S36:S37,"Oct",N36:N37)+SUMIF(S36:S37,"Oct",H36:H37)</f>
        <v>0</v>
      </c>
      <c r="S15" s="219">
        <f>(SUMIF(S36:S37,"Oct",L36:L37))-((SUMIF(S36:S37,"Oct",P36:P37)+SUMIF(S36:S37,"Oct",O36:O37)))</f>
        <v>0</v>
      </c>
      <c r="T15" s="219">
        <f>SUMIF(S36:S37,"Oct",Q36:Q37)</f>
        <v>0</v>
      </c>
      <c r="U15" s="220"/>
      <c r="V15" s="221">
        <f>COUNTIF(S36:S37,"Oct")</f>
        <v>0</v>
      </c>
    </row>
    <row r="16" spans="2:22" x14ac:dyDescent="0.2">
      <c r="B16" s="83" t="s">
        <v>22</v>
      </c>
      <c r="C16" s="218">
        <f>SUMIF(S21:S22,"Nov",N21:N22)+SUMIF(S21:S22,"Nov",H21:H22)</f>
        <v>0</v>
      </c>
      <c r="D16" s="219">
        <f>(SUMIF(S21:S22,"Nov",L21:L22))-((SUMIF(S21:S22,"Nov",P21:P22)+SUMIF(S21:S22,"Nov",O21:O22)))</f>
        <v>0</v>
      </c>
      <c r="E16" s="219">
        <f>SUMIF(S21:S22,"Nov",Q21:Q22)</f>
        <v>0</v>
      </c>
      <c r="F16" s="220"/>
      <c r="G16" s="221">
        <f>COUNTIF(S21:S22,"Nov")</f>
        <v>0</v>
      </c>
      <c r="H16" s="218">
        <f>SUMIF(S26:S27,"Nov",N26:N27)+SUMIF(S26:S27,"Nov",H26:H27)</f>
        <v>0</v>
      </c>
      <c r="I16" s="219">
        <f>(SUMIF(S26:S27,"Nov",L26:L27))-((SUMIF(S26:S27,"Nov",P26:P27)+SUMIF(S26:S27,"Nov",O26:O27)))</f>
        <v>0</v>
      </c>
      <c r="J16" s="219">
        <f>SUMIF(S26:S27,"Nov",Q26:Q27)</f>
        <v>0</v>
      </c>
      <c r="K16" s="220"/>
      <c r="L16" s="221">
        <f>COUNTIF(S26:S27,"Nov")</f>
        <v>0</v>
      </c>
      <c r="M16" s="218">
        <f>SUMIF(S31:S32,"Nov",N31:N32)+SUMIF(S31:S32,"Nov",H31:H32)</f>
        <v>0</v>
      </c>
      <c r="N16" s="219">
        <f>(SUMIF(S31:S32,"Nov",L31:L32))-((SUMIF(S31:S32,"Nov",P31:P32)+SUMIF(S31:S32,"Nov",O31:O32)))</f>
        <v>0</v>
      </c>
      <c r="O16" s="219">
        <f>SUMIF(S31:S32,"Nov",Q31:Q32)</f>
        <v>0</v>
      </c>
      <c r="P16" s="220"/>
      <c r="Q16" s="221">
        <f>COUNTIF(S31:S32,"Nov")</f>
        <v>0</v>
      </c>
      <c r="R16" s="218">
        <f>SUMIF(S36:S37,"Nov",N36:N37)+SUMIF(S36:S37,"Nov",H36:H37)</f>
        <v>0</v>
      </c>
      <c r="S16" s="219">
        <f>(SUMIF(S36:S37,"Nov",L36:L37))-((SUMIF(S36:S37,"Nov",P36:P37)+SUMIF(S36:S37,"Nov",O36:O37)))</f>
        <v>0</v>
      </c>
      <c r="T16" s="219">
        <f>SUMIF(S36:S37,"Nov",Q36:Q37)</f>
        <v>0</v>
      </c>
      <c r="U16" s="220"/>
      <c r="V16" s="221">
        <f>COUNTIF(S36:S37,"Nov")</f>
        <v>0</v>
      </c>
    </row>
    <row r="17" spans="2:27" x14ac:dyDescent="0.2">
      <c r="B17" s="83" t="s">
        <v>23</v>
      </c>
      <c r="C17" s="218">
        <f>SUMIF(S21:S22,"Dic",N21:N22)+SUMIF(S21:S22,"Dic",H21:H22)</f>
        <v>0</v>
      </c>
      <c r="D17" s="219">
        <f>(SUMIF(S21:S22,"Dic",L21:L22))-((SUMIF(S21:S22,"Dic",P21:P22)+SUMIF(S21:S22,"Dic",O21:O22)))</f>
        <v>0</v>
      </c>
      <c r="E17" s="219">
        <f>SUMIF(S21:S22,"Dic",Q21:Q22)</f>
        <v>0</v>
      </c>
      <c r="F17" s="220"/>
      <c r="G17" s="221">
        <f>COUNTIF(S21:S21,"Dic")</f>
        <v>0</v>
      </c>
      <c r="H17" s="218">
        <f>SUMIF(S26:S27,"Dic",N26:N27)+SUMIF(S26:S27,"Dic",H26:H27)</f>
        <v>0</v>
      </c>
      <c r="I17" s="219">
        <f>(SUMIF(S26:S27,"Dic",L26:L27))-((SUMIF(S26:S27,"Dic",P26:P27)+SUMIF(S26:S27,"Dic",O26:O27)))</f>
        <v>0</v>
      </c>
      <c r="J17" s="219">
        <f>SUMIF(S26:S27,"Dic",Q26:Q27)</f>
        <v>0</v>
      </c>
      <c r="K17" s="220"/>
      <c r="L17" s="221">
        <f>COUNTIF(S26:S27,"Dic")</f>
        <v>0</v>
      </c>
      <c r="M17" s="218">
        <f>SUMIF(S31:S32,"Dic",N31:N32)+SUMIF(S31:S32,"Dic",H31:H32)</f>
        <v>0</v>
      </c>
      <c r="N17" s="219">
        <f>(SUMIF(S31:S32,"Dic",L31:L32))-((SUMIF(S31:S32,"Dic",P31:P32)+SUMIF(S31:S32,"Dic",O31:O32)))</f>
        <v>0</v>
      </c>
      <c r="O17" s="219">
        <f>SUMIF(S31:S32,"Dic",Q31:Q32)</f>
        <v>0</v>
      </c>
      <c r="P17" s="220"/>
      <c r="Q17" s="221">
        <f>COUNTIF(S31:S32,"Dic")</f>
        <v>0</v>
      </c>
      <c r="R17" s="218">
        <f>SUMIF(S36:S37,"Dic",N36:N37)+SUMIF(S36:S37,"Dic",H36:H37)</f>
        <v>0</v>
      </c>
      <c r="S17" s="219">
        <f>(SUMIF(S36:S37,"Dic",L36:L37))-((SUMIF(S36:S37,"Dic",P36:P37)+SUMIF(S36:S37,"Dic",O36:O37)))</f>
        <v>0</v>
      </c>
      <c r="T17" s="219">
        <f>SUMIF(S36:S37,"Dic",Q36:Q37)</f>
        <v>0</v>
      </c>
      <c r="U17" s="220"/>
      <c r="V17" s="221">
        <f>COUNTIF(S36:S37,"Dic")</f>
        <v>0</v>
      </c>
    </row>
    <row r="18" spans="2:27" x14ac:dyDescent="0.2">
      <c r="B18" s="84" t="s">
        <v>42</v>
      </c>
      <c r="C18" s="87">
        <f>SUM(C6:C17)</f>
        <v>5639.259</v>
      </c>
      <c r="D18" s="88">
        <f t="shared" ref="D18:E18" si="3">SUM(D6:D17)</f>
        <v>5831.7150000000001</v>
      </c>
      <c r="E18" s="88">
        <f t="shared" si="3"/>
        <v>192.45600000000002</v>
      </c>
      <c r="F18" s="89">
        <f>E18/C18</f>
        <v>3.4127888078912497E-2</v>
      </c>
      <c r="G18" s="90">
        <f t="shared" ref="G18:J18" si="4">SUM(G6:G17)</f>
        <v>1</v>
      </c>
      <c r="H18" s="91">
        <f t="shared" si="4"/>
        <v>0</v>
      </c>
      <c r="I18" s="92">
        <f t="shared" si="4"/>
        <v>0</v>
      </c>
      <c r="J18" s="92">
        <f t="shared" si="4"/>
        <v>0</v>
      </c>
      <c r="K18" s="93" t="e">
        <f>J18/H18</f>
        <v>#DIV/0!</v>
      </c>
      <c r="L18" s="94">
        <f t="shared" ref="L18:N18" si="5">SUM(L6:L17)</f>
        <v>0</v>
      </c>
      <c r="M18" s="95">
        <f t="shared" si="5"/>
        <v>0</v>
      </c>
      <c r="N18" s="96">
        <f t="shared" si="5"/>
        <v>0</v>
      </c>
      <c r="O18" s="96">
        <f>SUM(O6:O17)</f>
        <v>0</v>
      </c>
      <c r="P18" s="97" t="e">
        <f>O18/M18</f>
        <v>#DIV/0!</v>
      </c>
      <c r="Q18" s="98">
        <f>SUM(Q6:Q17)</f>
        <v>0</v>
      </c>
      <c r="R18" s="99">
        <f t="shared" ref="R18:S18" si="6">SUM(R6:R17)</f>
        <v>0</v>
      </c>
      <c r="S18" s="100">
        <f t="shared" si="6"/>
        <v>0</v>
      </c>
      <c r="T18" s="100">
        <f>S18-R18</f>
        <v>0</v>
      </c>
      <c r="U18" s="101" t="e">
        <f>T18/R18</f>
        <v>#DIV/0!</v>
      </c>
      <c r="V18" s="102">
        <f>SUM(V6:V17)</f>
        <v>0</v>
      </c>
    </row>
    <row r="19" spans="2:27" s="222" customFormat="1" x14ac:dyDescent="0.2">
      <c r="C19" s="223"/>
      <c r="F19" s="224"/>
      <c r="G19" s="225"/>
      <c r="H19" s="223"/>
      <c r="I19" s="226"/>
      <c r="J19" s="226"/>
      <c r="K19" s="224"/>
      <c r="L19" s="224"/>
      <c r="M19" s="224"/>
    </row>
    <row r="20" spans="2:27" x14ac:dyDescent="0.2">
      <c r="B20" s="5" t="s">
        <v>9</v>
      </c>
      <c r="C20" s="2" t="s">
        <v>24</v>
      </c>
      <c r="D20" s="2" t="s">
        <v>95</v>
      </c>
      <c r="E20" s="2" t="s">
        <v>7</v>
      </c>
      <c r="F20" s="5" t="s">
        <v>2</v>
      </c>
      <c r="G20" s="3" t="s">
        <v>3</v>
      </c>
      <c r="H20" s="4" t="s">
        <v>122</v>
      </c>
      <c r="I20" s="2" t="s">
        <v>8</v>
      </c>
      <c r="J20" s="3" t="s">
        <v>4</v>
      </c>
      <c r="K20" s="3" t="s">
        <v>5</v>
      </c>
      <c r="L20" s="3" t="s">
        <v>123</v>
      </c>
      <c r="M20" s="4" t="s">
        <v>120</v>
      </c>
      <c r="N20" s="6" t="s">
        <v>103</v>
      </c>
      <c r="O20" s="6" t="s">
        <v>104</v>
      </c>
      <c r="P20" s="6" t="s">
        <v>89</v>
      </c>
      <c r="Q20" s="6" t="s">
        <v>11</v>
      </c>
      <c r="R20" s="6" t="s">
        <v>45</v>
      </c>
      <c r="S20" s="6" t="s">
        <v>73</v>
      </c>
      <c r="T20" s="6" t="s">
        <v>25</v>
      </c>
    </row>
    <row r="21" spans="2:27" ht="13.9" customHeight="1" x14ac:dyDescent="0.2">
      <c r="B21" s="247" t="s">
        <v>26</v>
      </c>
      <c r="C21" s="13"/>
      <c r="D21" s="154"/>
      <c r="E21" s="13"/>
      <c r="F21" s="143"/>
      <c r="G21" s="18"/>
      <c r="H21" s="12"/>
      <c r="I21" s="13"/>
      <c r="J21" s="18"/>
      <c r="K21" s="18"/>
      <c r="L21" s="12"/>
      <c r="M21" s="12"/>
      <c r="N21" s="12"/>
      <c r="O21" s="12"/>
      <c r="P21" s="12"/>
      <c r="Q21" s="12"/>
      <c r="R21" s="220"/>
      <c r="W21" s="219"/>
      <c r="X21" s="219"/>
    </row>
    <row r="22" spans="2:27" x14ac:dyDescent="0.2">
      <c r="B22" s="247"/>
      <c r="C22" s="13" t="s">
        <v>162</v>
      </c>
      <c r="D22" s="154">
        <v>1</v>
      </c>
      <c r="E22" s="13">
        <v>45965</v>
      </c>
      <c r="F22" s="143">
        <v>1500</v>
      </c>
      <c r="G22" s="18">
        <v>3.7549999999999999</v>
      </c>
      <c r="H22" s="12">
        <f>G22*F22</f>
        <v>5632.5</v>
      </c>
      <c r="I22" s="13">
        <v>46119</v>
      </c>
      <c r="J22" s="18">
        <v>3.9</v>
      </c>
      <c r="K22" s="18">
        <f>J22-G22</f>
        <v>0.14500000000000002</v>
      </c>
      <c r="L22" s="12">
        <f>F22*J22</f>
        <v>5850</v>
      </c>
      <c r="M22" s="12">
        <f>F22*K22</f>
        <v>217.50000000000003</v>
      </c>
      <c r="N22" s="12" cm="1">
        <f t="array" ref="N22">_xlfn.IFS(E22="",0,H22&lt;4166.67,5,H22&gt;4166.67,H22*0.12%)</f>
        <v>6.7589999999999995</v>
      </c>
      <c r="O22" s="12" cm="1">
        <f t="array" ref="O22">_xlfn.IFS(I22="",0,L22&lt;4166.67,5,L22&gt;4166.67,L22*0.12%)</f>
        <v>7.02</v>
      </c>
      <c r="P22" s="12">
        <f t="shared" ref="P22" si="7">H22*0.002</f>
        <v>11.265000000000001</v>
      </c>
      <c r="Q22" s="12">
        <f t="shared" ref="Q22" si="8">M22-(N22+O22+P22)</f>
        <v>192.45600000000002</v>
      </c>
      <c r="R22" s="214">
        <f>Q22/H22</f>
        <v>3.4168841544607191E-2</v>
      </c>
      <c r="S22" s="25" t="s">
        <v>15</v>
      </c>
      <c r="T22" s="25" t="s">
        <v>38</v>
      </c>
      <c r="W22" s="219"/>
      <c r="Z22" s="219"/>
    </row>
    <row r="23" spans="2:27" x14ac:dyDescent="0.2">
      <c r="B23" s="247"/>
      <c r="C23" s="15"/>
      <c r="D23" s="15" t="s">
        <v>69</v>
      </c>
      <c r="E23" s="132" t="s">
        <v>125</v>
      </c>
      <c r="F23" s="15" t="s">
        <v>31</v>
      </c>
      <c r="G23" s="15" t="s">
        <v>34</v>
      </c>
      <c r="H23" s="15" t="s">
        <v>124</v>
      </c>
      <c r="I23" s="132" t="s">
        <v>113</v>
      </c>
      <c r="J23" s="15" t="s">
        <v>35</v>
      </c>
      <c r="K23" s="15" t="s">
        <v>33</v>
      </c>
      <c r="L23" s="15" t="s">
        <v>121</v>
      </c>
      <c r="M23" s="15" t="s">
        <v>36</v>
      </c>
      <c r="N23" s="15" t="s">
        <v>105</v>
      </c>
      <c r="O23" s="15" t="s">
        <v>106</v>
      </c>
      <c r="P23" s="15" t="s">
        <v>89</v>
      </c>
      <c r="Q23" s="16" t="s">
        <v>32</v>
      </c>
      <c r="R23" s="16" t="s">
        <v>45</v>
      </c>
      <c r="S23" s="132" t="s">
        <v>36</v>
      </c>
      <c r="T23" s="132" t="s">
        <v>127</v>
      </c>
      <c r="AA23" s="219"/>
    </row>
    <row r="24" spans="2:27" x14ac:dyDescent="0.2">
      <c r="B24" s="247"/>
      <c r="C24" s="7"/>
      <c r="D24" s="157">
        <f>COUNTA(E21:E22)</f>
        <v>1</v>
      </c>
      <c r="E24" s="131">
        <f>H24+N24</f>
        <v>5639.259</v>
      </c>
      <c r="F24" s="146">
        <f>SUM(F21:F22)</f>
        <v>1500</v>
      </c>
      <c r="G24" s="19">
        <f>AVERAGE(G21:G22)</f>
        <v>3.7549999999999999</v>
      </c>
      <c r="H24" s="20">
        <f>SUM(H21:H22)</f>
        <v>5632.5</v>
      </c>
      <c r="I24" s="131">
        <f>L24-(O24+P24)</f>
        <v>5831.7150000000001</v>
      </c>
      <c r="J24" s="19">
        <f>AVERAGE(J21:J22)</f>
        <v>3.9</v>
      </c>
      <c r="K24" s="19">
        <f t="shared" ref="K24:Q24" si="9">SUM(K21:K22)</f>
        <v>0.14500000000000002</v>
      </c>
      <c r="L24" s="20">
        <f t="shared" si="9"/>
        <v>5850</v>
      </c>
      <c r="M24" s="20">
        <f t="shared" si="9"/>
        <v>217.50000000000003</v>
      </c>
      <c r="N24" s="20">
        <f t="shared" si="9"/>
        <v>6.7589999999999995</v>
      </c>
      <c r="O24" s="20">
        <f t="shared" si="9"/>
        <v>7.02</v>
      </c>
      <c r="P24" s="20">
        <f t="shared" si="9"/>
        <v>11.265000000000001</v>
      </c>
      <c r="Q24" s="20">
        <f t="shared" si="9"/>
        <v>192.45600000000002</v>
      </c>
      <c r="R24" s="110">
        <f>Q24/H24</f>
        <v>3.4168841544607191E-2</v>
      </c>
      <c r="S24" s="131">
        <f>SUM(P21:Q22)</f>
        <v>203.721</v>
      </c>
      <c r="T24" s="131">
        <f>I24-E24</f>
        <v>192.45600000000013</v>
      </c>
      <c r="V24" s="219"/>
      <c r="W24" s="219"/>
    </row>
    <row r="25" spans="2:27" x14ac:dyDescent="0.2">
      <c r="B25" s="5" t="s">
        <v>9</v>
      </c>
      <c r="C25" s="2" t="s">
        <v>24</v>
      </c>
      <c r="D25" s="2" t="s">
        <v>95</v>
      </c>
      <c r="E25" s="2" t="s">
        <v>7</v>
      </c>
      <c r="F25" s="5" t="s">
        <v>2</v>
      </c>
      <c r="G25" s="3" t="s">
        <v>3</v>
      </c>
      <c r="H25" s="4" t="s">
        <v>122</v>
      </c>
      <c r="I25" s="2" t="s">
        <v>8</v>
      </c>
      <c r="J25" s="3" t="s">
        <v>4</v>
      </c>
      <c r="K25" s="3" t="s">
        <v>5</v>
      </c>
      <c r="L25" s="3" t="s">
        <v>123</v>
      </c>
      <c r="M25" s="4" t="s">
        <v>120</v>
      </c>
      <c r="N25" s="6" t="s">
        <v>103</v>
      </c>
      <c r="O25" s="6" t="s">
        <v>104</v>
      </c>
      <c r="P25" s="6" t="s">
        <v>89</v>
      </c>
      <c r="Q25" s="6" t="s">
        <v>11</v>
      </c>
      <c r="R25" s="6" t="s">
        <v>45</v>
      </c>
      <c r="S25" s="6" t="s">
        <v>73</v>
      </c>
      <c r="T25" s="6" t="s">
        <v>25</v>
      </c>
    </row>
    <row r="26" spans="2:27" x14ac:dyDescent="0.2">
      <c r="B26" s="248" t="s">
        <v>28</v>
      </c>
      <c r="C26" s="13"/>
      <c r="D26" s="154"/>
      <c r="E26" s="13"/>
      <c r="F26" s="143"/>
      <c r="G26" s="18"/>
      <c r="H26" s="12"/>
      <c r="I26" s="13"/>
      <c r="J26" s="18"/>
      <c r="K26" s="18"/>
      <c r="L26" s="12"/>
      <c r="M26" s="12"/>
      <c r="N26" s="12"/>
      <c r="O26" s="12"/>
      <c r="P26" s="12"/>
      <c r="Q26" s="128"/>
      <c r="R26" s="220"/>
    </row>
    <row r="27" spans="2:27" x14ac:dyDescent="0.2">
      <c r="B27" s="248"/>
      <c r="C27" s="13"/>
      <c r="D27" s="154"/>
      <c r="E27" s="13"/>
      <c r="F27" s="143"/>
      <c r="G27" s="18"/>
      <c r="H27" s="12"/>
      <c r="I27" s="13"/>
      <c r="J27" s="18"/>
      <c r="K27" s="18"/>
      <c r="L27" s="12"/>
      <c r="M27" s="12"/>
      <c r="N27" s="12"/>
      <c r="O27" s="12"/>
      <c r="P27" s="12"/>
      <c r="Q27" s="128"/>
      <c r="R27" s="220"/>
    </row>
    <row r="28" spans="2:27" x14ac:dyDescent="0.2">
      <c r="B28" s="248"/>
      <c r="C28" s="15"/>
      <c r="D28" s="15" t="s">
        <v>69</v>
      </c>
      <c r="E28" s="132" t="s">
        <v>125</v>
      </c>
      <c r="F28" s="15" t="s">
        <v>31</v>
      </c>
      <c r="G28" s="15" t="s">
        <v>34</v>
      </c>
      <c r="H28" s="15" t="s">
        <v>124</v>
      </c>
      <c r="I28" s="132" t="s">
        <v>113</v>
      </c>
      <c r="J28" s="15" t="s">
        <v>35</v>
      </c>
      <c r="K28" s="15" t="s">
        <v>33</v>
      </c>
      <c r="L28" s="15" t="s">
        <v>121</v>
      </c>
      <c r="M28" s="15" t="s">
        <v>36</v>
      </c>
      <c r="N28" s="15" t="s">
        <v>105</v>
      </c>
      <c r="O28" s="15" t="s">
        <v>106</v>
      </c>
      <c r="P28" s="15" t="s">
        <v>89</v>
      </c>
      <c r="Q28" s="16" t="s">
        <v>32</v>
      </c>
      <c r="R28" s="16" t="s">
        <v>45</v>
      </c>
      <c r="S28" s="132" t="s">
        <v>36</v>
      </c>
      <c r="T28" s="132" t="s">
        <v>127</v>
      </c>
    </row>
    <row r="29" spans="2:27" x14ac:dyDescent="0.2">
      <c r="B29" s="248"/>
      <c r="C29" s="8"/>
      <c r="D29" s="160">
        <f>COUNTA(E26:E27)</f>
        <v>0</v>
      </c>
      <c r="E29" s="127">
        <f>H29+N29</f>
        <v>0</v>
      </c>
      <c r="F29" s="145">
        <f>SUM(F26:F27)</f>
        <v>0</v>
      </c>
      <c r="G29" s="21" t="e">
        <f>AVERAGE(G26:G27)</f>
        <v>#DIV/0!</v>
      </c>
      <c r="H29" s="22">
        <f>SUM(H26:H27)</f>
        <v>0</v>
      </c>
      <c r="I29" s="127">
        <f>L29-(O29+P29)</f>
        <v>0</v>
      </c>
      <c r="J29" s="21" t="e">
        <f>AVERAGE(J26:J27)</f>
        <v>#DIV/0!</v>
      </c>
      <c r="K29" s="22">
        <f t="shared" ref="K29:Q29" si="10">SUM(K26:K27)</f>
        <v>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  <c r="P29" s="22">
        <f t="shared" si="10"/>
        <v>0</v>
      </c>
      <c r="Q29" s="22">
        <f t="shared" si="10"/>
        <v>0</v>
      </c>
      <c r="R29" s="111" t="e">
        <f>Q29/H29</f>
        <v>#DIV/0!</v>
      </c>
      <c r="S29" s="127">
        <f>SUM(P26:Q27)</f>
        <v>0</v>
      </c>
      <c r="T29" s="127">
        <f>I29-E29</f>
        <v>0</v>
      </c>
    </row>
    <row r="30" spans="2:27" x14ac:dyDescent="0.2">
      <c r="B30" s="5" t="s">
        <v>9</v>
      </c>
      <c r="C30" s="2" t="s">
        <v>24</v>
      </c>
      <c r="D30" s="2" t="s">
        <v>95</v>
      </c>
      <c r="E30" s="2" t="s">
        <v>7</v>
      </c>
      <c r="F30" s="5" t="s">
        <v>2</v>
      </c>
      <c r="G30" s="3" t="s">
        <v>3</v>
      </c>
      <c r="H30" s="4" t="s">
        <v>1</v>
      </c>
      <c r="I30" s="2" t="s">
        <v>8</v>
      </c>
      <c r="J30" s="3" t="s">
        <v>4</v>
      </c>
      <c r="K30" s="3" t="s">
        <v>5</v>
      </c>
      <c r="L30" s="3" t="s">
        <v>123</v>
      </c>
      <c r="M30" s="4" t="s">
        <v>120</v>
      </c>
      <c r="N30" s="6" t="s">
        <v>103</v>
      </c>
      <c r="O30" s="6" t="s">
        <v>104</v>
      </c>
      <c r="P30" s="6" t="s">
        <v>89</v>
      </c>
      <c r="Q30" s="6" t="s">
        <v>11</v>
      </c>
      <c r="R30" s="6" t="s">
        <v>45</v>
      </c>
      <c r="S30" s="6" t="s">
        <v>73</v>
      </c>
      <c r="T30" s="6" t="s">
        <v>25</v>
      </c>
    </row>
    <row r="31" spans="2:27" x14ac:dyDescent="0.2">
      <c r="B31" s="249" t="s">
        <v>40</v>
      </c>
      <c r="C31" s="13"/>
      <c r="D31" s="154"/>
      <c r="E31" s="13"/>
      <c r="F31" s="143"/>
      <c r="G31" s="18"/>
      <c r="H31" s="12"/>
      <c r="I31" s="13"/>
      <c r="J31" s="18"/>
      <c r="K31" s="18"/>
      <c r="L31" s="12"/>
      <c r="M31" s="12"/>
      <c r="N31" s="12"/>
      <c r="O31" s="12"/>
      <c r="P31" s="12"/>
      <c r="Q31" s="128"/>
      <c r="R31" s="220"/>
      <c r="X31" s="219"/>
    </row>
    <row r="32" spans="2:27" x14ac:dyDescent="0.2">
      <c r="B32" s="249"/>
      <c r="C32" s="13"/>
      <c r="D32" s="154"/>
      <c r="E32" s="13"/>
      <c r="F32" s="143"/>
      <c r="G32" s="18"/>
      <c r="H32" s="12"/>
      <c r="I32" s="13"/>
      <c r="J32" s="18"/>
      <c r="K32" s="18"/>
      <c r="L32" s="12"/>
      <c r="M32" s="12"/>
      <c r="N32" s="12"/>
      <c r="O32" s="12"/>
      <c r="P32" s="12"/>
      <c r="Q32" s="128"/>
      <c r="R32" s="220"/>
      <c r="W32" s="219"/>
      <c r="X32" s="219"/>
    </row>
    <row r="33" spans="2:24" x14ac:dyDescent="0.2">
      <c r="B33" s="249"/>
      <c r="C33" s="15"/>
      <c r="D33" s="15" t="s">
        <v>69</v>
      </c>
      <c r="E33" s="132" t="s">
        <v>125</v>
      </c>
      <c r="F33" s="15" t="s">
        <v>31</v>
      </c>
      <c r="G33" s="15" t="s">
        <v>34</v>
      </c>
      <c r="H33" s="15" t="s">
        <v>124</v>
      </c>
      <c r="I33" s="132" t="s">
        <v>113</v>
      </c>
      <c r="J33" s="15" t="s">
        <v>35</v>
      </c>
      <c r="K33" s="15" t="s">
        <v>33</v>
      </c>
      <c r="L33" s="15" t="s">
        <v>121</v>
      </c>
      <c r="M33" s="15" t="s">
        <v>36</v>
      </c>
      <c r="N33" s="15" t="s">
        <v>105</v>
      </c>
      <c r="O33" s="15" t="s">
        <v>106</v>
      </c>
      <c r="P33" s="15" t="s">
        <v>89</v>
      </c>
      <c r="Q33" s="16" t="s">
        <v>32</v>
      </c>
      <c r="R33" s="16" t="s">
        <v>45</v>
      </c>
      <c r="S33" s="132" t="s">
        <v>36</v>
      </c>
      <c r="T33" s="132" t="s">
        <v>127</v>
      </c>
      <c r="W33" s="219"/>
      <c r="X33" s="219"/>
    </row>
    <row r="34" spans="2:24" x14ac:dyDescent="0.2">
      <c r="B34" s="249"/>
      <c r="C34" s="9"/>
      <c r="D34" s="159">
        <f>COUNTA(E31:E32)</f>
        <v>0</v>
      </c>
      <c r="E34" s="129">
        <f>H34+N34</f>
        <v>0</v>
      </c>
      <c r="F34" s="147">
        <f>SUM(F31:F32)</f>
        <v>0</v>
      </c>
      <c r="G34" s="48" t="e">
        <f>AVERAGE(G31:G32)</f>
        <v>#DIV/0!</v>
      </c>
      <c r="H34" s="49">
        <f>SUM(H31:H32)</f>
        <v>0</v>
      </c>
      <c r="I34" s="129">
        <f>L34-(O34+P34)</f>
        <v>0</v>
      </c>
      <c r="J34" s="48" t="e">
        <f>AVERAGE(J31:J32)</f>
        <v>#DIV/0!</v>
      </c>
      <c r="K34" s="49">
        <f t="shared" ref="K34:Q34" si="11">SUM(K31:K32)</f>
        <v>0</v>
      </c>
      <c r="L34" s="49">
        <f t="shared" si="11"/>
        <v>0</v>
      </c>
      <c r="M34" s="49">
        <f t="shared" si="11"/>
        <v>0</v>
      </c>
      <c r="N34" s="49">
        <f t="shared" si="11"/>
        <v>0</v>
      </c>
      <c r="O34" s="49">
        <f t="shared" si="11"/>
        <v>0</v>
      </c>
      <c r="P34" s="49">
        <f t="shared" si="11"/>
        <v>0</v>
      </c>
      <c r="Q34" s="49">
        <f t="shared" si="11"/>
        <v>0</v>
      </c>
      <c r="R34" s="112" t="e">
        <f>Q34/H34</f>
        <v>#DIV/0!</v>
      </c>
      <c r="S34" s="129">
        <f>SUM(P31:Q32)</f>
        <v>0</v>
      </c>
      <c r="T34" s="129">
        <f>I34-E34</f>
        <v>0</v>
      </c>
    </row>
    <row r="35" spans="2:24" x14ac:dyDescent="0.2">
      <c r="B35" s="5" t="s">
        <v>9</v>
      </c>
      <c r="C35" s="2" t="s">
        <v>24</v>
      </c>
      <c r="D35" s="2" t="s">
        <v>95</v>
      </c>
      <c r="E35" s="2" t="s">
        <v>7</v>
      </c>
      <c r="F35" s="5" t="s">
        <v>2</v>
      </c>
      <c r="G35" s="3" t="s">
        <v>3</v>
      </c>
      <c r="H35" s="4" t="s">
        <v>1</v>
      </c>
      <c r="I35" s="2" t="s">
        <v>8</v>
      </c>
      <c r="J35" s="3" t="s">
        <v>4</v>
      </c>
      <c r="K35" s="3" t="s">
        <v>5</v>
      </c>
      <c r="L35" s="3" t="s">
        <v>123</v>
      </c>
      <c r="M35" s="4" t="s">
        <v>120</v>
      </c>
      <c r="N35" s="6" t="s">
        <v>103</v>
      </c>
      <c r="O35" s="6" t="s">
        <v>104</v>
      </c>
      <c r="P35" s="6" t="s">
        <v>89</v>
      </c>
      <c r="Q35" s="6" t="s">
        <v>11</v>
      </c>
      <c r="R35" s="6" t="s">
        <v>45</v>
      </c>
      <c r="S35" s="6" t="s">
        <v>73</v>
      </c>
      <c r="T35" s="6" t="s">
        <v>25</v>
      </c>
    </row>
    <row r="36" spans="2:24" x14ac:dyDescent="0.2">
      <c r="B36" s="250" t="s">
        <v>48</v>
      </c>
      <c r="C36" s="13"/>
      <c r="D36" s="154"/>
      <c r="E36" s="13"/>
      <c r="F36" s="143"/>
      <c r="G36" s="18"/>
      <c r="H36" s="12"/>
      <c r="I36" s="13"/>
      <c r="J36" s="18"/>
      <c r="K36" s="18"/>
      <c r="L36" s="12"/>
      <c r="M36" s="12"/>
      <c r="N36" s="12"/>
      <c r="O36" s="12"/>
      <c r="P36" s="12"/>
      <c r="Q36" s="128"/>
      <c r="R36" s="220"/>
    </row>
    <row r="37" spans="2:24" x14ac:dyDescent="0.2">
      <c r="B37" s="250"/>
      <c r="C37" s="13"/>
      <c r="D37" s="154"/>
      <c r="E37" s="13"/>
      <c r="F37" s="143"/>
      <c r="G37" s="18"/>
      <c r="H37" s="12"/>
      <c r="I37" s="13"/>
      <c r="J37" s="18"/>
      <c r="K37" s="18"/>
      <c r="L37" s="12"/>
      <c r="M37" s="12"/>
      <c r="N37" s="12"/>
      <c r="O37" s="12"/>
      <c r="P37" s="12"/>
      <c r="Q37" s="128"/>
      <c r="R37" s="220"/>
    </row>
    <row r="38" spans="2:24" x14ac:dyDescent="0.2">
      <c r="B38" s="250"/>
      <c r="C38" s="15"/>
      <c r="D38" s="15" t="s">
        <v>69</v>
      </c>
      <c r="E38" s="132" t="s">
        <v>125</v>
      </c>
      <c r="F38" s="15" t="s">
        <v>31</v>
      </c>
      <c r="G38" s="15" t="s">
        <v>34</v>
      </c>
      <c r="H38" s="15" t="s">
        <v>124</v>
      </c>
      <c r="I38" s="132" t="s">
        <v>113</v>
      </c>
      <c r="J38" s="15" t="s">
        <v>35</v>
      </c>
      <c r="K38" s="15" t="s">
        <v>33</v>
      </c>
      <c r="L38" s="15" t="s">
        <v>121</v>
      </c>
      <c r="M38" s="15" t="s">
        <v>36</v>
      </c>
      <c r="N38" s="15" t="s">
        <v>105</v>
      </c>
      <c r="O38" s="15" t="s">
        <v>106</v>
      </c>
      <c r="P38" s="15" t="s">
        <v>89</v>
      </c>
      <c r="Q38" s="16" t="s">
        <v>32</v>
      </c>
      <c r="R38" s="16" t="s">
        <v>45</v>
      </c>
      <c r="S38" s="132" t="s">
        <v>36</v>
      </c>
      <c r="T38" s="132" t="s">
        <v>127</v>
      </c>
    </row>
    <row r="39" spans="2:24" x14ac:dyDescent="0.2">
      <c r="B39" s="250"/>
      <c r="C39" s="26"/>
      <c r="D39" s="158">
        <f>COUNTA(E36:E37)</f>
        <v>0</v>
      </c>
      <c r="E39" s="127">
        <f>H39+N39</f>
        <v>0</v>
      </c>
      <c r="F39" s="148">
        <f>SUM(F36:F37)</f>
        <v>0</v>
      </c>
      <c r="G39" s="55" t="e">
        <f>AVERAGE(G36:G37)</f>
        <v>#DIV/0!</v>
      </c>
      <c r="H39" s="56">
        <f>SUM(H36:H37)</f>
        <v>0</v>
      </c>
      <c r="I39" s="127">
        <f>L39-(O39+P39)</f>
        <v>0</v>
      </c>
      <c r="J39" s="55" t="e">
        <f>AVERAGE(J36:J37)</f>
        <v>#DIV/0!</v>
      </c>
      <c r="K39" s="56">
        <f t="shared" ref="K39:Q39" si="12">SUM(K36:K37)</f>
        <v>0</v>
      </c>
      <c r="L39" s="56">
        <f t="shared" si="12"/>
        <v>0</v>
      </c>
      <c r="M39" s="56">
        <f t="shared" si="12"/>
        <v>0</v>
      </c>
      <c r="N39" s="56">
        <f t="shared" si="12"/>
        <v>0</v>
      </c>
      <c r="O39" s="56">
        <f t="shared" si="12"/>
        <v>0</v>
      </c>
      <c r="P39" s="56">
        <f t="shared" si="12"/>
        <v>0</v>
      </c>
      <c r="Q39" s="56">
        <f t="shared" si="12"/>
        <v>0</v>
      </c>
      <c r="R39" s="130" t="e">
        <f>Q39/H39</f>
        <v>#DIV/0!</v>
      </c>
      <c r="S39" s="127">
        <f>SUM(P36:Q37)</f>
        <v>0</v>
      </c>
      <c r="T39" s="127">
        <f>I39-E39</f>
        <v>0</v>
      </c>
    </row>
    <row r="40" spans="2:24" x14ac:dyDescent="0.2">
      <c r="B40" s="227"/>
      <c r="C40" s="113"/>
      <c r="D40" s="113"/>
      <c r="E40" s="228"/>
      <c r="F40" s="229"/>
      <c r="G40" s="227"/>
      <c r="H40" s="230"/>
      <c r="I40" s="230"/>
      <c r="J40" s="228"/>
      <c r="K40" s="228"/>
      <c r="L40" s="228"/>
      <c r="M40" s="228"/>
      <c r="N40" s="228"/>
      <c r="O40" s="231"/>
      <c r="P40" s="228"/>
      <c r="Q40" s="231"/>
      <c r="R40" s="231"/>
      <c r="S40" s="231"/>
      <c r="T40" s="231"/>
    </row>
    <row r="41" spans="2:24" x14ac:dyDescent="0.2">
      <c r="B41" s="232"/>
      <c r="C41" s="216"/>
      <c r="E41" s="219"/>
      <c r="F41" s="233"/>
      <c r="G41" s="232"/>
      <c r="H41" s="234"/>
      <c r="J41" s="219"/>
      <c r="M41" s="216"/>
    </row>
    <row r="42" spans="2:24" x14ac:dyDescent="0.2">
      <c r="B42" s="232"/>
      <c r="C42" s="216"/>
      <c r="E42" s="219"/>
      <c r="F42" s="233"/>
      <c r="G42" s="232"/>
      <c r="H42" s="234"/>
      <c r="J42" s="219"/>
      <c r="M42" s="216"/>
    </row>
    <row r="43" spans="2:24" x14ac:dyDescent="0.2">
      <c r="B43" s="232"/>
      <c r="C43" s="216"/>
      <c r="E43" s="219"/>
      <c r="F43" s="233"/>
      <c r="G43" s="232"/>
      <c r="H43" s="234"/>
      <c r="J43" s="219"/>
      <c r="M43" s="216"/>
    </row>
    <row r="44" spans="2:24" x14ac:dyDescent="0.2">
      <c r="B44" s="232"/>
      <c r="C44" s="216"/>
      <c r="E44" s="219"/>
      <c r="F44" s="233"/>
      <c r="G44" s="232"/>
      <c r="H44" s="234"/>
      <c r="J44" s="219"/>
      <c r="M44" s="216"/>
    </row>
    <row r="45" spans="2:24" x14ac:dyDescent="0.2">
      <c r="B45" s="232"/>
      <c r="C45" s="216"/>
      <c r="E45" s="219"/>
      <c r="F45" s="233"/>
      <c r="G45" s="232"/>
      <c r="H45" s="234"/>
      <c r="J45" s="219"/>
      <c r="M45" s="216"/>
    </row>
    <row r="46" spans="2:24" x14ac:dyDescent="0.2">
      <c r="B46" s="232"/>
      <c r="C46" s="216"/>
      <c r="E46" s="219"/>
      <c r="F46" s="233"/>
      <c r="G46" s="232"/>
      <c r="H46" s="234"/>
      <c r="J46" s="219"/>
      <c r="M46" s="216"/>
    </row>
    <row r="47" spans="2:24" x14ac:dyDescent="0.2">
      <c r="B47" s="232"/>
      <c r="C47" s="216"/>
      <c r="E47" s="219"/>
      <c r="F47" s="233"/>
      <c r="G47" s="232"/>
      <c r="H47" s="234"/>
      <c r="J47" s="219"/>
      <c r="M47" s="216"/>
    </row>
    <row r="48" spans="2:24" x14ac:dyDescent="0.2">
      <c r="B48" s="232"/>
      <c r="C48" s="216"/>
      <c r="E48" s="219"/>
      <c r="F48" s="233"/>
      <c r="G48" s="232"/>
      <c r="H48" s="234"/>
      <c r="J48" s="219"/>
      <c r="M48" s="216"/>
    </row>
    <row r="49" spans="2:13" x14ac:dyDescent="0.2">
      <c r="B49" s="232"/>
      <c r="C49" s="216"/>
      <c r="E49" s="219"/>
      <c r="F49" s="233"/>
      <c r="G49" s="232"/>
      <c r="H49" s="234"/>
      <c r="J49" s="219"/>
      <c r="M49" s="216"/>
    </row>
    <row r="50" spans="2:13" x14ac:dyDescent="0.2">
      <c r="B50" s="232"/>
      <c r="C50" s="216"/>
      <c r="E50" s="219"/>
      <c r="F50" s="233"/>
      <c r="G50" s="232"/>
      <c r="H50" s="234"/>
      <c r="J50" s="219"/>
      <c r="M50" s="216"/>
    </row>
    <row r="51" spans="2:13" x14ac:dyDescent="0.2">
      <c r="B51" s="232"/>
      <c r="C51" s="216"/>
      <c r="E51" s="219"/>
      <c r="F51" s="233"/>
      <c r="G51" s="232"/>
      <c r="H51" s="234"/>
      <c r="J51" s="219"/>
      <c r="M51" s="216"/>
    </row>
    <row r="52" spans="2:13" x14ac:dyDescent="0.2">
      <c r="B52" s="232"/>
      <c r="C52" s="216"/>
      <c r="E52" s="219"/>
      <c r="F52" s="233"/>
      <c r="G52" s="232"/>
      <c r="H52" s="234"/>
      <c r="J52" s="219"/>
      <c r="M52" s="216"/>
    </row>
    <row r="53" spans="2:13" x14ac:dyDescent="0.2">
      <c r="B53" s="232"/>
      <c r="C53" s="216"/>
      <c r="E53" s="219"/>
      <c r="F53" s="233"/>
      <c r="G53" s="232"/>
      <c r="H53" s="234"/>
      <c r="J53" s="219"/>
      <c r="M53" s="216"/>
    </row>
    <row r="54" spans="2:13" x14ac:dyDescent="0.2">
      <c r="B54" s="232"/>
      <c r="C54" s="216"/>
      <c r="E54" s="219"/>
      <c r="F54" s="233"/>
      <c r="G54" s="232"/>
      <c r="H54" s="234"/>
      <c r="J54" s="219"/>
      <c r="M54" s="216"/>
    </row>
    <row r="55" spans="2:13" x14ac:dyDescent="0.2">
      <c r="B55" s="232"/>
      <c r="C55" s="216"/>
      <c r="E55" s="219"/>
      <c r="F55" s="233"/>
      <c r="G55" s="232"/>
      <c r="H55" s="234"/>
      <c r="J55" s="219"/>
      <c r="M55" s="216"/>
    </row>
    <row r="56" spans="2:13" x14ac:dyDescent="0.2">
      <c r="B56" s="232"/>
      <c r="C56" s="216"/>
      <c r="E56" s="219"/>
      <c r="F56" s="233"/>
      <c r="G56" s="232"/>
      <c r="H56" s="234"/>
      <c r="J56" s="219"/>
      <c r="M56" s="216"/>
    </row>
    <row r="57" spans="2:13" x14ac:dyDescent="0.2">
      <c r="B57" s="232"/>
      <c r="C57" s="216"/>
      <c r="E57" s="219"/>
      <c r="F57" s="233"/>
      <c r="G57" s="232"/>
      <c r="H57" s="234"/>
      <c r="J57" s="219"/>
      <c r="M57" s="216"/>
    </row>
    <row r="58" spans="2:13" x14ac:dyDescent="0.2">
      <c r="B58" s="232"/>
      <c r="C58" s="216"/>
      <c r="E58" s="219"/>
      <c r="F58" s="233"/>
      <c r="G58" s="232"/>
      <c r="H58" s="234"/>
      <c r="J58" s="219"/>
      <c r="M58" s="216"/>
    </row>
    <row r="59" spans="2:13" x14ac:dyDescent="0.2">
      <c r="B59" s="232"/>
      <c r="C59" s="216"/>
      <c r="E59" s="219"/>
      <c r="F59" s="233"/>
      <c r="G59" s="232"/>
      <c r="H59" s="234"/>
      <c r="J59" s="219"/>
      <c r="M59" s="216"/>
    </row>
    <row r="60" spans="2:13" x14ac:dyDescent="0.2">
      <c r="B60" s="232"/>
      <c r="C60" s="216"/>
      <c r="E60" s="219"/>
      <c r="F60" s="233"/>
      <c r="G60" s="232"/>
      <c r="H60" s="234"/>
      <c r="J60" s="219"/>
      <c r="M60" s="216"/>
    </row>
    <row r="61" spans="2:13" x14ac:dyDescent="0.2">
      <c r="B61" s="232"/>
      <c r="C61" s="216"/>
      <c r="E61" s="219"/>
      <c r="F61" s="233"/>
      <c r="G61" s="232"/>
      <c r="H61" s="234"/>
      <c r="J61" s="219"/>
      <c r="M61" s="216"/>
    </row>
    <row r="62" spans="2:13" x14ac:dyDescent="0.2">
      <c r="B62" s="232"/>
      <c r="C62" s="216"/>
      <c r="E62" s="219"/>
      <c r="F62" s="233"/>
      <c r="G62" s="232"/>
      <c r="H62" s="234"/>
      <c r="J62" s="219"/>
      <c r="M62" s="216"/>
    </row>
    <row r="63" spans="2:13" x14ac:dyDescent="0.2">
      <c r="B63" s="232"/>
      <c r="C63" s="216"/>
      <c r="E63" s="219"/>
      <c r="F63" s="233"/>
      <c r="G63" s="232"/>
      <c r="H63" s="234"/>
      <c r="J63" s="219"/>
      <c r="M63" s="216"/>
    </row>
    <row r="64" spans="2:13" x14ac:dyDescent="0.2">
      <c r="B64" s="232"/>
      <c r="C64" s="216"/>
      <c r="E64" s="219"/>
      <c r="F64" s="233"/>
      <c r="G64" s="232"/>
      <c r="H64" s="234"/>
      <c r="J64" s="219"/>
      <c r="M64" s="216"/>
    </row>
    <row r="65" spans="2:13" x14ac:dyDescent="0.2">
      <c r="B65" s="232"/>
      <c r="C65" s="216"/>
      <c r="E65" s="219"/>
      <c r="F65" s="233"/>
      <c r="G65" s="232"/>
      <c r="H65" s="234"/>
      <c r="J65" s="219"/>
      <c r="M65" s="216"/>
    </row>
    <row r="66" spans="2:13" x14ac:dyDescent="0.2">
      <c r="B66" s="232"/>
      <c r="C66" s="216"/>
      <c r="E66" s="219"/>
      <c r="F66" s="233"/>
      <c r="G66" s="232"/>
      <c r="H66" s="234"/>
      <c r="J66" s="219"/>
      <c r="M66" s="216"/>
    </row>
    <row r="67" spans="2:13" x14ac:dyDescent="0.2">
      <c r="B67" s="232"/>
      <c r="C67" s="216"/>
      <c r="E67" s="219"/>
      <c r="F67" s="233"/>
      <c r="G67" s="232"/>
      <c r="H67" s="234"/>
      <c r="J67" s="219"/>
      <c r="M67" s="216"/>
    </row>
    <row r="68" spans="2:13" x14ac:dyDescent="0.2">
      <c r="B68" s="232"/>
      <c r="C68" s="216"/>
      <c r="E68" s="219"/>
      <c r="F68" s="233"/>
      <c r="G68" s="232"/>
      <c r="H68" s="234"/>
      <c r="J68" s="219"/>
      <c r="M68" s="216"/>
    </row>
    <row r="69" spans="2:13" x14ac:dyDescent="0.2">
      <c r="B69" s="232"/>
      <c r="C69" s="216"/>
      <c r="E69" s="219"/>
      <c r="F69" s="233"/>
      <c r="G69" s="232"/>
      <c r="H69" s="234"/>
      <c r="J69" s="219"/>
      <c r="M69" s="216"/>
    </row>
    <row r="70" spans="2:13" x14ac:dyDescent="0.2">
      <c r="B70" s="232"/>
      <c r="C70" s="216"/>
      <c r="E70" s="219"/>
      <c r="F70" s="233"/>
      <c r="G70" s="232"/>
      <c r="H70" s="234"/>
      <c r="J70" s="219"/>
      <c r="M70" s="216"/>
    </row>
    <row r="71" spans="2:13" x14ac:dyDescent="0.2">
      <c r="B71" s="232"/>
      <c r="C71" s="216"/>
      <c r="E71" s="219"/>
      <c r="F71" s="233"/>
      <c r="G71" s="232"/>
      <c r="H71" s="234"/>
      <c r="J71" s="219"/>
      <c r="M71" s="216"/>
    </row>
    <row r="72" spans="2:13" x14ac:dyDescent="0.2">
      <c r="B72" s="232"/>
      <c r="C72" s="216"/>
      <c r="E72" s="219"/>
      <c r="F72" s="233"/>
      <c r="G72" s="232"/>
      <c r="H72" s="234"/>
      <c r="J72" s="219"/>
      <c r="M72" s="216"/>
    </row>
    <row r="73" spans="2:13" x14ac:dyDescent="0.2">
      <c r="B73" s="232"/>
      <c r="C73" s="216"/>
      <c r="E73" s="219"/>
      <c r="F73" s="233"/>
      <c r="G73" s="232"/>
      <c r="H73" s="234"/>
      <c r="J73" s="219"/>
      <c r="M73" s="216"/>
    </row>
    <row r="74" spans="2:13" x14ac:dyDescent="0.2">
      <c r="B74" s="232"/>
      <c r="C74" s="216"/>
      <c r="E74" s="219"/>
      <c r="F74" s="233"/>
      <c r="G74" s="232"/>
      <c r="H74" s="234"/>
      <c r="J74" s="219"/>
      <c r="M74" s="216"/>
    </row>
    <row r="75" spans="2:13" x14ac:dyDescent="0.2">
      <c r="B75" s="232"/>
      <c r="C75" s="216"/>
      <c r="E75" s="219"/>
      <c r="F75" s="233"/>
      <c r="G75" s="232"/>
      <c r="H75" s="234"/>
      <c r="J75" s="219"/>
      <c r="M75" s="216"/>
    </row>
  </sheetData>
  <mergeCells count="9">
    <mergeCell ref="R4:V4"/>
    <mergeCell ref="B21:B24"/>
    <mergeCell ref="B26:B29"/>
    <mergeCell ref="B31:B34"/>
    <mergeCell ref="B36:B39"/>
    <mergeCell ref="H2:I2"/>
    <mergeCell ref="C4:G4"/>
    <mergeCell ref="H4:L4"/>
    <mergeCell ref="M4:Q4"/>
  </mergeCells>
  <conditionalFormatting sqref="C22">
    <cfRule type="expression" dxfId="137" priority="9">
      <formula>$T22="Cerrada"</formula>
    </cfRule>
    <cfRule type="expression" dxfId="136" priority="7">
      <formula>$T22="Abierta"</formula>
    </cfRule>
    <cfRule type="expression" dxfId="135" priority="8">
      <formula>$T22="Programada"</formula>
    </cfRule>
  </conditionalFormatting>
  <conditionalFormatting sqref="C31:P32 R31:T32">
    <cfRule type="expression" dxfId="134" priority="35">
      <formula>$T31="Cerrada"</formula>
    </cfRule>
    <cfRule type="expression" dxfId="133" priority="34">
      <formula>$T31="Programada"</formula>
    </cfRule>
    <cfRule type="expression" dxfId="132" priority="33">
      <formula>$T31="Abierta"</formula>
    </cfRule>
  </conditionalFormatting>
  <conditionalFormatting sqref="C36:P37 R36:T37">
    <cfRule type="expression" dxfId="131" priority="22">
      <formula>$T36="Abierta"</formula>
    </cfRule>
    <cfRule type="expression" dxfId="130" priority="23">
      <formula>$T36="Programada"</formula>
    </cfRule>
    <cfRule type="expression" dxfId="129" priority="24">
      <formula>$T36="Cerrada"</formula>
    </cfRule>
  </conditionalFormatting>
  <conditionalFormatting sqref="C21:T21">
    <cfRule type="expression" dxfId="128" priority="60">
      <formula>$T21="Cerrada"</formula>
    </cfRule>
    <cfRule type="expression" dxfId="127" priority="59">
      <formula>$T21="Programada"</formula>
    </cfRule>
    <cfRule type="expression" dxfId="126" priority="52">
      <formula>$T21="Abierta"</formula>
    </cfRule>
  </conditionalFormatting>
  <conditionalFormatting sqref="C26:T27">
    <cfRule type="expression" dxfId="125" priority="46">
      <formula>$T26="Cerrada"</formula>
    </cfRule>
    <cfRule type="expression" dxfId="124" priority="44">
      <formula>$T26="Abierta"</formula>
    </cfRule>
    <cfRule type="expression" dxfId="123" priority="45">
      <formula>$T26="Programada"</formula>
    </cfRule>
  </conditionalFormatting>
  <conditionalFormatting sqref="C6:V17">
    <cfRule type="cellIs" dxfId="122" priority="71" operator="equal">
      <formula>0</formula>
    </cfRule>
  </conditionalFormatting>
  <conditionalFormatting sqref="D22:R22">
    <cfRule type="expression" dxfId="121" priority="14">
      <formula>$T22="Abierta"</formula>
    </cfRule>
    <cfRule type="expression" dxfId="120" priority="17">
      <formula>$T22="Cerrada"</formula>
    </cfRule>
    <cfRule type="expression" dxfId="119" priority="16">
      <formula>$T22="Programada"</formula>
    </cfRule>
  </conditionalFormatting>
  <conditionalFormatting sqref="M21">
    <cfRule type="expression" dxfId="118" priority="51">
      <formula>$T21="Cerrada"</formula>
    </cfRule>
    <cfRule type="expression" dxfId="117" priority="50">
      <formula>$T21="Programada"</formula>
    </cfRule>
  </conditionalFormatting>
  <conditionalFormatting sqref="Q21:Q22">
    <cfRule type="cellIs" dxfId="116" priority="18" operator="lessThan">
      <formula>0</formula>
    </cfRule>
    <cfRule type="cellIs" dxfId="115" priority="19" operator="greaterThan">
      <formula>0</formula>
    </cfRule>
  </conditionalFormatting>
  <conditionalFormatting sqref="Q22">
    <cfRule type="cellIs" dxfId="114" priority="10" operator="lessThan">
      <formula>0</formula>
    </cfRule>
    <cfRule type="cellIs" dxfId="113" priority="11" operator="greaterThan">
      <formula>0</formula>
    </cfRule>
  </conditionalFormatting>
  <conditionalFormatting sqref="Q26:Q27">
    <cfRule type="cellIs" dxfId="112" priority="67" operator="greaterThan">
      <formula>0</formula>
    </cfRule>
    <cfRule type="cellIs" dxfId="111" priority="66" operator="lessThan">
      <formula>0</formula>
    </cfRule>
    <cfRule type="cellIs" dxfId="110" priority="40" operator="lessThan">
      <formula>0</formula>
    </cfRule>
    <cfRule type="cellIs" dxfId="109" priority="41" operator="greaterThan">
      <formula>0</formula>
    </cfRule>
  </conditionalFormatting>
  <conditionalFormatting sqref="Q31:Q32">
    <cfRule type="expression" dxfId="108" priority="30">
      <formula>$S31="Abierta"</formula>
    </cfRule>
    <cfRule type="cellIs" dxfId="107" priority="29" operator="greaterThan">
      <formula>0</formula>
    </cfRule>
    <cfRule type="cellIs" dxfId="106" priority="28" operator="lessThan">
      <formula>0</formula>
    </cfRule>
    <cfRule type="expression" dxfId="105" priority="32">
      <formula>$S31="Cerrada"</formula>
    </cfRule>
    <cfRule type="expression" dxfId="104" priority="31">
      <formula>$S31="Programada"</formula>
    </cfRule>
  </conditionalFormatting>
  <conditionalFormatting sqref="Q36:Q37">
    <cfRule type="cellIs" dxfId="103" priority="21" operator="greaterThan">
      <formula>0</formula>
    </cfRule>
    <cfRule type="expression" dxfId="102" priority="26">
      <formula>$S36="Programada"</formula>
    </cfRule>
    <cfRule type="expression" dxfId="101" priority="27">
      <formula>$S36="Cerrada"</formula>
    </cfRule>
    <cfRule type="expression" dxfId="100" priority="25">
      <formula>$S36="Abierta"</formula>
    </cfRule>
    <cfRule type="cellIs" dxfId="99" priority="20" operator="lessThan">
      <formula>0</formula>
    </cfRule>
  </conditionalFormatting>
  <conditionalFormatting sqref="S22:T22">
    <cfRule type="expression" dxfId="98" priority="3">
      <formula>$T22="Cerrada"</formula>
    </cfRule>
    <cfRule type="expression" dxfId="97" priority="1">
      <formula>$T22="Abierta"</formula>
    </cfRule>
    <cfRule type="expression" dxfId="96" priority="2">
      <formula>$T22="Programada"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2BB93B-A584-4CA1-8736-E2A60B532132}">
          <x14:formula1>
            <xm:f>Listas!$E$4:$E$15</xm:f>
          </x14:formula1>
          <xm:sqref>S22</xm:sqref>
        </x14:dataValidation>
        <x14:dataValidation type="list" allowBlank="1" showInputMessage="1" showErrorMessage="1" xr:uid="{BBC2D744-92CF-48D1-AB4C-A7FFFF9BEFA9}">
          <x14:formula1>
            <xm:f>Listas!$B$4:$B$6</xm:f>
          </x14:formula1>
          <xm:sqref>T22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66C9-272B-4924-AA5A-BB910754B931}">
  <dimension ref="B2:AA73"/>
  <sheetViews>
    <sheetView zoomScaleNormal="100" workbookViewId="0">
      <pane ySplit="19" topLeftCell="A26" activePane="bottomLeft" state="frozen"/>
      <selection pane="bottomLeft" activeCell="P27" sqref="P27"/>
    </sheetView>
  </sheetViews>
  <sheetFormatPr baseColWidth="10" defaultColWidth="3.28515625" defaultRowHeight="12.75" x14ac:dyDescent="0.2"/>
  <cols>
    <col min="1" max="1" width="3.28515625" style="216"/>
    <col min="2" max="2" width="6.42578125" style="216" bestFit="1" customWidth="1"/>
    <col min="3" max="3" width="13.5703125" style="232" customWidth="1"/>
    <col min="4" max="4" width="10.5703125" style="216" bestFit="1" customWidth="1"/>
    <col min="5" max="5" width="11.28515625" style="216" bestFit="1" customWidth="1"/>
    <col min="6" max="6" width="7.7109375" style="219" bestFit="1" customWidth="1"/>
    <col min="7" max="7" width="9.28515625" style="233" bestFit="1" customWidth="1"/>
    <col min="8" max="8" width="11.28515625" style="232" bestFit="1" customWidth="1"/>
    <col min="9" max="9" width="10.5703125" style="234" bestFit="1" customWidth="1"/>
    <col min="10" max="10" width="8.7109375" style="234" bestFit="1" customWidth="1"/>
    <col min="11" max="11" width="10" style="219" bestFit="1" customWidth="1"/>
    <col min="12" max="12" width="10.28515625" style="219" bestFit="1" customWidth="1"/>
    <col min="13" max="13" width="11.28515625" style="219" bestFit="1" customWidth="1"/>
    <col min="14" max="14" width="10.140625" style="216" bestFit="1" customWidth="1"/>
    <col min="15" max="15" width="11.7109375" style="216" bestFit="1" customWidth="1"/>
    <col min="16" max="16" width="7.7109375" style="216" bestFit="1" customWidth="1"/>
    <col min="17" max="17" width="7.85546875" style="216" bestFit="1" customWidth="1"/>
    <col min="18" max="18" width="11.28515625" style="216" bestFit="1" customWidth="1"/>
    <col min="19" max="19" width="9.7109375" style="216" bestFit="1" customWidth="1"/>
    <col min="20" max="20" width="8.7109375" style="216" bestFit="1" customWidth="1"/>
    <col min="21" max="21" width="7.7109375" style="216" bestFit="1" customWidth="1"/>
    <col min="22" max="22" width="3.28515625" style="216" bestFit="1" customWidth="1"/>
    <col min="23" max="23" width="6.85546875" style="216" bestFit="1" customWidth="1"/>
    <col min="24" max="24" width="8.140625" style="216" bestFit="1" customWidth="1"/>
    <col min="25" max="25" width="6.85546875" style="216" bestFit="1" customWidth="1"/>
    <col min="26" max="26" width="8.140625" style="216" bestFit="1" customWidth="1"/>
    <col min="27" max="27" width="5.85546875" style="216" bestFit="1" customWidth="1"/>
    <col min="28" max="28" width="8.140625" style="216" bestFit="1" customWidth="1"/>
    <col min="29" max="29" width="5.85546875" style="216" bestFit="1" customWidth="1"/>
    <col min="30" max="30" width="8.140625" style="216" bestFit="1" customWidth="1"/>
    <col min="31" max="31" width="7.7109375" style="216" bestFit="1" customWidth="1"/>
    <col min="32" max="32" width="7.5703125" style="216" bestFit="1" customWidth="1"/>
    <col min="33" max="16384" width="3.28515625" style="216"/>
  </cols>
  <sheetData>
    <row r="2" spans="2:22" x14ac:dyDescent="0.2">
      <c r="B2" s="80" t="s">
        <v>75</v>
      </c>
      <c r="C2" s="199" t="s">
        <v>148</v>
      </c>
      <c r="D2" s="199" t="s">
        <v>147</v>
      </c>
      <c r="E2" s="81" t="s">
        <v>146</v>
      </c>
      <c r="F2" s="82" t="s">
        <v>45</v>
      </c>
      <c r="G2" s="199" t="s">
        <v>72</v>
      </c>
      <c r="H2" s="268" t="s">
        <v>96</v>
      </c>
      <c r="I2" s="268"/>
      <c r="J2" s="199" t="s">
        <v>145</v>
      </c>
      <c r="K2" s="199" t="s">
        <v>111</v>
      </c>
      <c r="L2" s="199" t="s">
        <v>149</v>
      </c>
      <c r="M2" s="167" t="s">
        <v>144</v>
      </c>
    </row>
    <row r="3" spans="2:22" x14ac:dyDescent="0.2">
      <c r="B3" s="174">
        <v>2025</v>
      </c>
      <c r="C3" s="168">
        <f>C18+H18+M18+R18</f>
        <v>15083.431219999999</v>
      </c>
      <c r="D3" s="168">
        <f>D18+I18+N18+S18</f>
        <v>16002.114808</v>
      </c>
      <c r="E3" s="168">
        <f>E18+J18+O18+T18</f>
        <v>918.68358799999896</v>
      </c>
      <c r="F3" s="169">
        <f>E3/C3</f>
        <v>6.0906803936087363E-2</v>
      </c>
      <c r="G3" s="170">
        <f>G18+L18+Q18+V18</f>
        <v>4</v>
      </c>
      <c r="H3" s="171">
        <f>E3*0.25</f>
        <v>229.67089699999974</v>
      </c>
      <c r="I3" s="172" t="str">
        <f>"25%"</f>
        <v>25%</v>
      </c>
      <c r="J3" s="217">
        <f>E3-H3</f>
        <v>689.01269099999922</v>
      </c>
      <c r="K3" s="168">
        <f>Dividendos!S27</f>
        <v>182.25</v>
      </c>
      <c r="L3" s="168">
        <f>Comisiones!U22</f>
        <v>0</v>
      </c>
      <c r="M3" s="173">
        <f>J3+K3-L3</f>
        <v>871.26269099999922</v>
      </c>
    </row>
    <row r="4" spans="2:22" x14ac:dyDescent="0.2">
      <c r="B4" s="161">
        <v>2025</v>
      </c>
      <c r="C4" s="273" t="s">
        <v>26</v>
      </c>
      <c r="D4" s="274"/>
      <c r="E4" s="274"/>
      <c r="F4" s="274"/>
      <c r="G4" s="275"/>
      <c r="H4" s="276" t="s">
        <v>28</v>
      </c>
      <c r="I4" s="277"/>
      <c r="J4" s="277"/>
      <c r="K4" s="277"/>
      <c r="L4" s="278"/>
      <c r="M4" s="279" t="s">
        <v>40</v>
      </c>
      <c r="N4" s="280"/>
      <c r="O4" s="280"/>
      <c r="P4" s="280"/>
      <c r="Q4" s="281"/>
      <c r="R4" s="282" t="s">
        <v>48</v>
      </c>
      <c r="S4" s="283"/>
      <c r="T4" s="283"/>
      <c r="U4" s="283"/>
      <c r="V4" s="284"/>
    </row>
    <row r="5" spans="2:22" x14ac:dyDescent="0.2">
      <c r="B5" s="83" t="s">
        <v>74</v>
      </c>
      <c r="C5" s="85" t="s">
        <v>41</v>
      </c>
      <c r="D5" s="6" t="s">
        <v>71</v>
      </c>
      <c r="E5" s="4" t="s">
        <v>70</v>
      </c>
      <c r="F5" s="5" t="s">
        <v>45</v>
      </c>
      <c r="G5" s="86" t="s">
        <v>72</v>
      </c>
      <c r="H5" s="85" t="s">
        <v>41</v>
      </c>
      <c r="I5" s="6" t="s">
        <v>71</v>
      </c>
      <c r="J5" s="4" t="s">
        <v>6</v>
      </c>
      <c r="K5" s="5" t="s">
        <v>45</v>
      </c>
      <c r="L5" s="86" t="s">
        <v>72</v>
      </c>
      <c r="M5" s="85" t="s">
        <v>41</v>
      </c>
      <c r="N5" s="6" t="s">
        <v>71</v>
      </c>
      <c r="O5" s="4" t="s">
        <v>6</v>
      </c>
      <c r="P5" s="5" t="s">
        <v>45</v>
      </c>
      <c r="Q5" s="86" t="s">
        <v>72</v>
      </c>
      <c r="R5" s="85" t="s">
        <v>41</v>
      </c>
      <c r="S5" s="6" t="s">
        <v>71</v>
      </c>
      <c r="T5" s="4" t="s">
        <v>6</v>
      </c>
      <c r="U5" s="5" t="s">
        <v>45</v>
      </c>
      <c r="V5" s="86" t="s">
        <v>72</v>
      </c>
    </row>
    <row r="6" spans="2:22" x14ac:dyDescent="0.2">
      <c r="B6" s="83" t="s">
        <v>12</v>
      </c>
      <c r="C6" s="218">
        <f>SUMIF(S21:S25,"Ene",N21:N25)+SUMIF(S21:S25,"Ene",H21:H25)</f>
        <v>0</v>
      </c>
      <c r="D6" s="219">
        <f>(SUMIF(S21:S25,"Ene",L21:L25))-((SUMIF(S21:S25,"Ene",P21:P25)+SUMIF(S21:S25,"Ene",O21:O25)))</f>
        <v>0</v>
      </c>
      <c r="E6" s="219">
        <f>SUMIF(S21:S25,"Ene",Q21:Q25)</f>
        <v>0</v>
      </c>
      <c r="F6" s="220" t="e">
        <f>E6/C6</f>
        <v>#DIV/0!</v>
      </c>
      <c r="G6" s="221">
        <f>COUNTIF(S21:S25,"Ene")</f>
        <v>0</v>
      </c>
      <c r="H6" s="218">
        <f>SUMIF(S29:S30,"Ene",N29:N30)+SUMIF(S29:S30,"Ene",H29:H30)</f>
        <v>0</v>
      </c>
      <c r="I6" s="219">
        <f>(SUMIF(S29:S30,"Ene",L29:L30))-((SUMIF(S29:S30,"Ene",P29:P30)+SUMIF(S29:S30,"Ene",O29:O30)))</f>
        <v>0</v>
      </c>
      <c r="J6" s="219">
        <f>SUMIF(S29:S30,"Ene",Q29:Q30)</f>
        <v>0</v>
      </c>
      <c r="K6" s="220" t="e">
        <f>J6/H6</f>
        <v>#DIV/0!</v>
      </c>
      <c r="L6" s="221">
        <f>COUNTIF(S29:S30,"Ene")</f>
        <v>0</v>
      </c>
      <c r="M6" s="218">
        <f>SUMIF(S34:S35,"Ene",N34:N35)+SUMIF(S34:S35,"Ene",H34:H35)</f>
        <v>0</v>
      </c>
      <c r="N6" s="219">
        <f>(SUMIF(S34:S35,"Ene",L34:L35))-((SUMIF(S34:S35,"Ene",P34:P35)+SUMIF(S34:S35,"Ene",O34:O35)))</f>
        <v>0</v>
      </c>
      <c r="O6" s="219">
        <f>SUMIF(S34:S35,"Ene",Q34:Q35)</f>
        <v>0</v>
      </c>
      <c r="P6" s="220" t="e">
        <f>O6/M6</f>
        <v>#DIV/0!</v>
      </c>
      <c r="Q6" s="221">
        <f>COUNTIF(S34:S35,"Ene")</f>
        <v>0</v>
      </c>
      <c r="R6" s="218">
        <f>SUMIF(S39:S40,"Ene",N39:N40)+SUMIF(S39:S40,"Ene",H39:H40)</f>
        <v>0</v>
      </c>
      <c r="S6" s="219">
        <f>(SUMIF(S39:S40,"Ene",L39:L40))-((SUMIF(S39:S40,"Ene",P39:P40)+SUMIF(S39:S40,"Ene",O39:O40)))</f>
        <v>0</v>
      </c>
      <c r="T6" s="220" t="e">
        <f>S6/Q6</f>
        <v>#DIV/0!</v>
      </c>
      <c r="V6" s="221">
        <f>COUNTIF(S39:S40,"Ene")</f>
        <v>0</v>
      </c>
    </row>
    <row r="7" spans="2:22" x14ac:dyDescent="0.2">
      <c r="B7" s="83" t="s">
        <v>13</v>
      </c>
      <c r="C7" s="218">
        <f>SUMIF(S21:S25,"Feb",N21:N25)+SUMIF(S21:S25,"Feb",H21:H25)</f>
        <v>0</v>
      </c>
      <c r="D7" s="219">
        <f>(SUMIF(S21:S25,"Feb",L21:L25))-((SUMIF(S21:S25,"Feb",P21:P25)+SUMIF(S21:S25,"Feb",O21:O25)))</f>
        <v>0</v>
      </c>
      <c r="E7" s="219">
        <f>SUMIF(S21:S25,"Feb",Q21:Q25)</f>
        <v>0</v>
      </c>
      <c r="F7" s="220"/>
      <c r="G7" s="221">
        <f>COUNTIF(S21:S25,"Feb")</f>
        <v>0</v>
      </c>
      <c r="H7" s="218">
        <f>SUMIF(S29:S30,"Feb",N29:N30)+SUMIF(S29:S30,"Feb",H29:H30)</f>
        <v>0</v>
      </c>
      <c r="I7" s="219">
        <f>(SUMIF(S29:S30,"Feb",L29:L30))-((SUMIF(S29:S30,"Feb",P29:P30)+SUMIF(S29:S30,"Feb",O29:O30)))</f>
        <v>0</v>
      </c>
      <c r="J7" s="219">
        <f>SUMIF(S29:S30,"Feb",Q29:Q30)</f>
        <v>0</v>
      </c>
      <c r="K7" s="220"/>
      <c r="L7" s="221">
        <f>COUNTIF(S29:S30,"Feb")</f>
        <v>0</v>
      </c>
      <c r="M7" s="218">
        <f>SUMIF(S34:S35,"Feb",N34:N35)+SUMIF(S34:S35,"Feb",H34:H35)</f>
        <v>0</v>
      </c>
      <c r="N7" s="219">
        <f>(SUMIF(S34:S35,"Feb",L34:L35))-((SUMIF(S34:S35,"Feb",P34:P35)+SUMIF(S34:S35,"Feb",O34:O35)))</f>
        <v>0</v>
      </c>
      <c r="O7" s="219">
        <f>SUMIF(S34:S35,"Feb",Q34:Q35)</f>
        <v>0</v>
      </c>
      <c r="Q7" s="221">
        <f>COUNTIF(S34:S35,"Feb")</f>
        <v>0</v>
      </c>
      <c r="R7" s="218">
        <f>SUMIF(S39:S40,"Feb",N39:N40)+SUMIF(S39:S40,"Feb",H39:H40)</f>
        <v>0</v>
      </c>
      <c r="S7" s="219">
        <f>(SUMIF(S39:S40,"Feb",L39:L40))-((SUMIF(S39:S40,"Feb",P39:P40)+SUMIF(S39:S40,"Feb",O39:O40)))</f>
        <v>0</v>
      </c>
      <c r="T7" s="219">
        <f>SUMIF(S39:S40,"Feb",Q39:Q40)</f>
        <v>0</v>
      </c>
      <c r="V7" s="221">
        <f>COUNTIF(S39:S40,"Feb")</f>
        <v>0</v>
      </c>
    </row>
    <row r="8" spans="2:22" x14ac:dyDescent="0.2">
      <c r="B8" s="83" t="s">
        <v>14</v>
      </c>
      <c r="C8" s="218">
        <f>SUMIF(S21:S25,"Mar",N21:N25)+SUMIF(S21:S25,"Mar",H21:H25)</f>
        <v>0</v>
      </c>
      <c r="D8" s="219">
        <f>(SUMIF(S21:S25,"Mar",L21:L25))-((SUMIF(S21:S25,"Mar",P21:P25)+SUMIF(S21:S25,"Mar",O21:O25)))</f>
        <v>0</v>
      </c>
      <c r="E8" s="219">
        <f>SUMIF(S21:S25,"Mar",Q21:Q25)</f>
        <v>0</v>
      </c>
      <c r="F8" s="220"/>
      <c r="G8" s="221">
        <f>COUNTIF(S21:S25,"Mar")</f>
        <v>0</v>
      </c>
      <c r="H8" s="218">
        <f>SUMIF(S29:S30,"Mar",N29:N30)+SUMIF(S29:S30,"Mar",H29:H30)</f>
        <v>0</v>
      </c>
      <c r="I8" s="219">
        <f>(SUMIF(S29:S30,"Mar",L29:L30))-((SUMIF(S29:S30,"Mar",P29:P30)+SUMIF(S29:S30,"Mar",O29:O30)))</f>
        <v>0</v>
      </c>
      <c r="J8" s="219">
        <f>SUMIF(S29:S30,"Mar",Q29:Q30)</f>
        <v>0</v>
      </c>
      <c r="L8" s="221">
        <f>COUNTIF(S29:S30,"Mar")</f>
        <v>0</v>
      </c>
      <c r="M8" s="218">
        <f>SUMIF(S34:S35,"Mar",N34:N35)+SUMIF(S34:S35,"Mar",H34:H35)</f>
        <v>0</v>
      </c>
      <c r="N8" s="219">
        <f>(SUMIF(S34:S35,"Mar",L34:L35))-((SUMIF(S34:S35,"Mar",P34:P35)+SUMIF(S34:S35,"Mar",O34:O35)))</f>
        <v>0</v>
      </c>
      <c r="O8" s="219">
        <f>SUMIF(S34:S35,"Mar",Q34:Q35)</f>
        <v>0</v>
      </c>
      <c r="Q8" s="221">
        <f>COUNTIF(S34:S35,"Mar")</f>
        <v>0</v>
      </c>
      <c r="R8" s="218">
        <f>SUMIF(S39:S40,"Mar",N39:N40)+SUMIF(S39:S40,"Mar",H39:H40)</f>
        <v>0</v>
      </c>
      <c r="S8" s="219">
        <f>(SUMIF(S39:S40,"Mar",L39:L40))-((SUMIF(S39:S40,"Mar",P39:P40)+SUMIF(S39:S40,"MAr",O39:O40)))</f>
        <v>0</v>
      </c>
      <c r="T8" s="219">
        <f>SUMIF(S39:S40,"Mar",Q39:Q40)</f>
        <v>0</v>
      </c>
      <c r="V8" s="221">
        <f>COUNTIF(S39:S40,"Mar")</f>
        <v>0</v>
      </c>
    </row>
    <row r="9" spans="2:22" x14ac:dyDescent="0.2">
      <c r="B9" s="83" t="s">
        <v>15</v>
      </c>
      <c r="C9" s="218">
        <f>SUMIF(S21:S25,"Abr",N21:N25)+SUMIF(S21:S25,"Abr",H21:H25)</f>
        <v>0</v>
      </c>
      <c r="D9" s="219">
        <f>(SUMIF(S21:S25,"Abr",L21:L25))-((SUMIF(S21:S25,"Abr",P21:P25)+SUMIF(S21:S25,"Abr",O21:O25)))</f>
        <v>0</v>
      </c>
      <c r="E9" s="219">
        <f>SUMIF(S21:S25,"Abr",Q21:Q25)</f>
        <v>0</v>
      </c>
      <c r="F9" s="220"/>
      <c r="G9" s="221">
        <f>COUNTIF(S21:S25,"Abr")</f>
        <v>0</v>
      </c>
      <c r="H9" s="218">
        <f>SUMIF(S29:S30,"Abr",N29:N30)+SUMIF(S29:S30,"Abr",H29:H30)</f>
        <v>0</v>
      </c>
      <c r="I9" s="219">
        <f>(SUMIF(S29:S30,"Abr",L29:L30))-((SUMIF(S29:S30,"Abr",P29:P30)+SUMIF(S29:S30,"Abr",O29:O30)))</f>
        <v>0</v>
      </c>
      <c r="J9" s="219">
        <f>SUMIF(S29:S30,"Abr",Q29:Q30)</f>
        <v>0</v>
      </c>
      <c r="L9" s="221">
        <f>COUNTIF(S29:S30,"Abr")</f>
        <v>0</v>
      </c>
      <c r="M9" s="218">
        <f>SUMIF(S34:S35,"Abr",N34:N35)+SUMIF(S34:S35,"Abr",H34:H35)</f>
        <v>0</v>
      </c>
      <c r="N9" s="219">
        <f>(SUMIF(S34:S35,"Abr",L34:L35))-((SUMIF(S34:S35,"Abr",P34:P35)+SUMIF(S34:S35,"Abr",O34:O35)))</f>
        <v>0</v>
      </c>
      <c r="O9" s="219">
        <f>SUMIF(S34:S35,"Abr",Q34:Q35)</f>
        <v>0</v>
      </c>
      <c r="Q9" s="221">
        <f>COUNTIF(S34:S35,"Abr")</f>
        <v>0</v>
      </c>
      <c r="R9" s="218">
        <f>SUMIF(S39:S40,"Abr",N39:N40)+SUMIF(S39:S40,"Abr",H39:H40)</f>
        <v>0</v>
      </c>
      <c r="S9" s="219">
        <f>(SUMIF(S39:S40,"Abr",L39:L40))-((SUMIF(S39:S40,"Abr",P39:P40)+SUMIF(S39:S40,"Abr",O39:O40)))</f>
        <v>0</v>
      </c>
      <c r="T9" s="219">
        <f>SUMIF(S39:S40,"Abr",Q39:Q40)</f>
        <v>0</v>
      </c>
      <c r="U9" s="220"/>
      <c r="V9" s="221">
        <f>COUNTIF(S39:S40,"Abr")</f>
        <v>0</v>
      </c>
    </row>
    <row r="10" spans="2:22" x14ac:dyDescent="0.2">
      <c r="B10" s="83" t="s">
        <v>16</v>
      </c>
      <c r="C10" s="218">
        <f>SUMIF(S21:S25,"May",N21:N25)+SUMIF(S21:S25,"May",H21:H25)</f>
        <v>0</v>
      </c>
      <c r="D10" s="219">
        <f>(SUMIF(S21:S25,"May",L21:L25))-((SUMIF(S21:S25,"May",P21:P25)+SUMIF(S21:S25,"May",O21:O25)))</f>
        <v>0</v>
      </c>
      <c r="E10" s="219">
        <f>SUMIF(S21:S25,"May",Q21:Q25)</f>
        <v>0</v>
      </c>
      <c r="F10" s="220"/>
      <c r="G10" s="221">
        <f>COUNTIF(S21:S25,"May")</f>
        <v>0</v>
      </c>
      <c r="H10" s="218">
        <f>SUMIF(S29:S30,"May",N29:N30)+SUMIF(S29:S30,"May",H29:H30)</f>
        <v>0</v>
      </c>
      <c r="I10" s="219">
        <f>(SUMIF(S29:S30,"May",L29:L30))-((SUMIF(S29:S30,"My",P29:P30)+SUMIF(S29:S30,"May",O29:O30)))</f>
        <v>0</v>
      </c>
      <c r="J10" s="219">
        <f>SUMIF(S29:S30,"May",Q29:Q30)</f>
        <v>0</v>
      </c>
      <c r="L10" s="221">
        <f>COUNTIF(S29:S30,"May")</f>
        <v>0</v>
      </c>
      <c r="M10" s="218">
        <f>SUMIF(S34:S35,"May",N34:N35)+SUMIF(S34:S35,"May",H34:H35)</f>
        <v>0</v>
      </c>
      <c r="N10" s="219">
        <f>(SUMIF(S34:S35,"May",L34:L35))-((SUMIF(S34:S35,"May",P34:P35)+SUMIF(S34:S35,"May",O34:O35)))</f>
        <v>0</v>
      </c>
      <c r="O10" s="219">
        <f>SUMIF(S34:S35,"May",Q34:Q35)</f>
        <v>0</v>
      </c>
      <c r="P10" s="220"/>
      <c r="Q10" s="221">
        <f>COUNTIF(S34:S35,"May")</f>
        <v>0</v>
      </c>
      <c r="R10" s="218">
        <f>SUMIF(S39:S40,"May",N39:N40)+SUMIF(S39:S40,"May",H39:H40)</f>
        <v>0</v>
      </c>
      <c r="S10" s="219">
        <f>(SUMIF(S39:S40,"May",L39:L40))-((SUMIF(S39:S40,"May",P39:P40)+SUMIF(S39:S40,"May",O39:O40)))</f>
        <v>0</v>
      </c>
      <c r="T10" s="219">
        <f>SUMIF(S39:S40,"May",Q39:Q40)</f>
        <v>0</v>
      </c>
      <c r="V10" s="221">
        <f>COUNTIF(S39:S40,"May")</f>
        <v>0</v>
      </c>
    </row>
    <row r="11" spans="2:22" x14ac:dyDescent="0.2">
      <c r="B11" s="83" t="s">
        <v>17</v>
      </c>
      <c r="C11" s="218">
        <f>SUMIF(S21:S25,"Jun",N21:N25)+SUMIF(S21:S25,"Jun",H21:H25)</f>
        <v>4966.30242</v>
      </c>
      <c r="D11" s="219">
        <f>(SUMIF(S21:S25,"Jun",L21:L25))-((SUMIF(S21:S25,"Jun",P21:P25)+SUMIF(S21:S25,"Jun",O21:O25)))</f>
        <v>5179.2548079999997</v>
      </c>
      <c r="E11" s="219">
        <f>SUMIF(S21:S25,"Jun",Q21:Q25)</f>
        <v>212.95238800000007</v>
      </c>
      <c r="F11" s="220">
        <f>E11/C11</f>
        <v>4.2879464436642194E-2</v>
      </c>
      <c r="G11" s="221">
        <f>COUNTIF(S21:S25,"Jun")</f>
        <v>1</v>
      </c>
      <c r="H11" s="218">
        <f>SUMIF(S29:S30,"Jun",N29:N30)+SUMIF(S29:S30,"Jun",H29:H30)</f>
        <v>0</v>
      </c>
      <c r="I11" s="219">
        <f>(SUMIF(S29:S30,"Jun",L29:L30))-((SUMIF(S29:S30,"Jun",P29:P30)+SUMIF(S29:S30,"Jun",O29:O30)))</f>
        <v>0</v>
      </c>
      <c r="J11" s="219">
        <f>SUMIF(S29:S30,"Jun",Q29:Q30)</f>
        <v>0</v>
      </c>
      <c r="L11" s="221">
        <f>COUNTIF(S29:S30,"Jun")</f>
        <v>0</v>
      </c>
      <c r="M11" s="218">
        <f>SUMIF(S34:S35,"Jun",N34:N35)+SUMIF(S34:S35,"Jun",H34:H35)</f>
        <v>0</v>
      </c>
      <c r="N11" s="219">
        <f>(SUMIF(S34:S35,"Jun",L34:L35))-((SUMIF(S34:S35,"Jun",P34:P35)+SUMIF(S34:S35,"Jun",O34:O35)))</f>
        <v>0</v>
      </c>
      <c r="O11" s="219">
        <f>SUMIF(S34:S35,"Jun",Q34:Q35)</f>
        <v>0</v>
      </c>
      <c r="P11" s="220"/>
      <c r="Q11" s="221">
        <f>COUNTIF(S34:S35,"Jun")</f>
        <v>0</v>
      </c>
      <c r="R11" s="218">
        <f>SUMIF(S39:S40,"Jun",N39:N40)+SUMIF(S39:S40,"Jun",H39:H40)</f>
        <v>0</v>
      </c>
      <c r="S11" s="219">
        <f>(SUMIF(S39:S40,"Jun",L39:L40))-((SUMIF(S39:S40,"Jun",P39:P40)+SUMIF(S39:S40,"Jun",O39:O40)))</f>
        <v>0</v>
      </c>
      <c r="T11" s="219">
        <f>SUMIF(S39:S40,"Jun",Q39:Q40)</f>
        <v>0</v>
      </c>
      <c r="V11" s="221">
        <f>COUNTIF(S39:S40,"Jun")</f>
        <v>0</v>
      </c>
    </row>
    <row r="12" spans="2:22" x14ac:dyDescent="0.2">
      <c r="B12" s="83" t="s">
        <v>18</v>
      </c>
      <c r="C12" s="218">
        <f>SUMIF(S21:S25,"Jul",N21:N25)+SUMIF(S21:S25,"Jul",H21:H25)</f>
        <v>0</v>
      </c>
      <c r="D12" s="219">
        <f>(SUMIF(S21:S25,"Jul",L21:L25))-((SUMIF(S21:S25,"Jul",P21:P25)+SUMIF(S21:S25,"Jul",O21:O25)))</f>
        <v>0</v>
      </c>
      <c r="E12" s="219">
        <f>SUMIF(S21:S25,"Jul",Q21:Q25)</f>
        <v>0</v>
      </c>
      <c r="F12" s="220"/>
      <c r="G12" s="221">
        <f>COUNTIF(S21:S25,"Jul")</f>
        <v>0</v>
      </c>
      <c r="H12" s="218">
        <f>SUMIF(S29:S30,"Jul",N29:N30)+SUMIF(S29:S30,"Jul",H29:H30)</f>
        <v>0</v>
      </c>
      <c r="I12" s="219">
        <f>(SUMIF(S29:S30,"Jul",L29:L30))-((SUMIF(S29:S30,"Jul",P29:P30)+SUMIF(S29:S30,"Jul",O29:O30)))</f>
        <v>0</v>
      </c>
      <c r="J12" s="219">
        <f>SUMIF(S29:S30,"Jul",Q29:Q30)</f>
        <v>0</v>
      </c>
      <c r="L12" s="221">
        <f>COUNTIF(S29:S30,"Jul")</f>
        <v>0</v>
      </c>
      <c r="M12" s="218">
        <f>SUMIF(S34:S35,"Jul",N34:N35)+SUMIF(S34:S35,"Jul",H34:H35)</f>
        <v>0</v>
      </c>
      <c r="N12" s="219">
        <f>(SUMIF(S34:S35,"Jul",L34:L35))-((SUMIF(S34:S35,"Jul",P34:P35)+SUMIF(S34:S35,"Jul",O34:O35)))</f>
        <v>0</v>
      </c>
      <c r="O12" s="219">
        <f>SUMIF(S34:S35,"Jul",Q34:Q35)</f>
        <v>0</v>
      </c>
      <c r="Q12" s="221">
        <f>COUNTIF(S34:S35,"Jul")</f>
        <v>0</v>
      </c>
      <c r="R12" s="218">
        <f>SUMIF(S39:S40,"Jul",N39:N40)+SUMIF(S39:S40,"Jul",H39:H40)</f>
        <v>0</v>
      </c>
      <c r="S12" s="219">
        <f>(SUMIF(S39:S40,"Jul",L39:L40))-((SUMIF(S39:S40,"Jul",P39:P40)+SUMIF(S39:S40,"Jul",O39:O40)))</f>
        <v>0</v>
      </c>
      <c r="T12" s="219">
        <f>SUMIF(S39:S40,"Jul",Q39:Q40)</f>
        <v>0</v>
      </c>
      <c r="V12" s="221">
        <f>COUNTIF(S39:S40,"Jul")</f>
        <v>0</v>
      </c>
    </row>
    <row r="13" spans="2:22" x14ac:dyDescent="0.2">
      <c r="B13" s="83" t="s">
        <v>19</v>
      </c>
      <c r="C13" s="218">
        <f>SUMIF(S21:S25,"Ago",N21:N25)+SUMIF(S21:S25,"Ago",H21:H25)</f>
        <v>0</v>
      </c>
      <c r="D13" s="219">
        <f>(SUMIF(S21:S25,"Ago",L21:L25))-((SUMIF(S21:S25,"Ago",P21:P25)+SUMIF(S21:S25,"Ago",O21:O25)))</f>
        <v>0</v>
      </c>
      <c r="E13" s="219">
        <f>SUMIF(S21:S25,"Ago",Q21:Q25)</f>
        <v>0</v>
      </c>
      <c r="F13" s="220"/>
      <c r="G13" s="221">
        <f>COUNTIF(S21:S25,"Ago")</f>
        <v>0</v>
      </c>
      <c r="H13" s="218">
        <f>SUMIF(S29:S30,"Ago",N29:N30)+SUMIF(S29:S30,"Ago",H29:H30)</f>
        <v>0</v>
      </c>
      <c r="I13" s="219">
        <f>(SUMIF(S29:S30,"Ago",L29:L30))-((SUMIF(S29:S30,"Ago",P29:P30)+SUMIF(S29:S30,"Ago",O29:O30)))</f>
        <v>0</v>
      </c>
      <c r="J13" s="219">
        <f>SUMIF(S29:S30,"Ago",Q29:Q30)</f>
        <v>0</v>
      </c>
      <c r="L13" s="221">
        <f>COUNTIF(S29:S30,"Ago")</f>
        <v>0</v>
      </c>
      <c r="M13" s="218">
        <f>SUMIF(S34:S35,"Ago",N34:N35)+SUMIF(S34:S35,"Ago",H34:H35)</f>
        <v>0</v>
      </c>
      <c r="N13" s="219">
        <f>(SUMIF(S34:S35,"Ago",L34:L35))-((SUMIF(S34:S35,"Ago",P34:P35)+SUMIF(S34:S35,"Ago",O34:O35)))</f>
        <v>0</v>
      </c>
      <c r="O13" s="219">
        <f>SUMIF(S34:S35,"Jul",Q34:Q35)</f>
        <v>0</v>
      </c>
      <c r="Q13" s="221">
        <f>COUNTIF(S34:S35,"Ago")</f>
        <v>0</v>
      </c>
      <c r="R13" s="218">
        <f>SUMIF(S39:S40,"Ago",N39:N40)+SUMIF(S39:S40,"Ago",H39:H40)</f>
        <v>0</v>
      </c>
      <c r="S13" s="219">
        <f>(SUMIF(S39:S40,"Ago",L39:L40))-((SUMIF(S39:S40,"Ago",P39:P40)+SUMIF(S39:S40,"Ago",O39:O40)))</f>
        <v>0</v>
      </c>
      <c r="T13" s="219">
        <f>SUMIF(S39:S40,"Ago",Q39:Q40)</f>
        <v>0</v>
      </c>
      <c r="V13" s="221">
        <f>COUNTIF(S39:S40,"Ago")</f>
        <v>0</v>
      </c>
    </row>
    <row r="14" spans="2:22" x14ac:dyDescent="0.2">
      <c r="B14" s="83" t="s">
        <v>20</v>
      </c>
      <c r="C14" s="218">
        <f>SUMIF(S21:S25,"Sep",N21:N25)+SUMIF(S21:S25,"Sep",H21:H25)</f>
        <v>5062.07</v>
      </c>
      <c r="D14" s="219">
        <f>(SUMIF(S21:S25,"Sep",L21:L25))-((SUMIF(S21:S25,"Sep",P21:P25)+SUMIF(S21:S25,"Sep",O21:O25)))</f>
        <v>5229.6900000000005</v>
      </c>
      <c r="E14" s="219">
        <f>SUMIF(S21:S25,"Sep",Q21:Q25)</f>
        <v>167.61999999999952</v>
      </c>
      <c r="F14" s="220">
        <f>E14/C14</f>
        <v>3.3112936012342685E-2</v>
      </c>
      <c r="G14" s="221">
        <f>COUNTIF(S21:S25,"Sep")</f>
        <v>2</v>
      </c>
      <c r="H14" s="218">
        <f>SUMIF(S29:S30,"Sep",N29:N30)+SUMIF(S29:S30,"Sep",H29:H30)</f>
        <v>0</v>
      </c>
      <c r="I14" s="219">
        <f>(SUMIF(S29:S30,"Sep",L29:L30))-((SUMIF(S29:S30,"Sep",P29:P30)+SUMIF(S29:S30,"Sep",O29:O30)))</f>
        <v>0</v>
      </c>
      <c r="J14" s="219">
        <f>SUMIF(S29:S30,"Sep",Q29:Q30)</f>
        <v>0</v>
      </c>
      <c r="L14" s="221">
        <f>COUNTIF(S29:S30,"Sep")</f>
        <v>0</v>
      </c>
      <c r="M14" s="218">
        <f>SUMIF(S34:S35,"Sep",N34:N35)+SUMIF(S34:S35,"Sep",H34:H35)</f>
        <v>0</v>
      </c>
      <c r="N14" s="219">
        <f>(SUMIF(S34:S35,"Sep",L34:L35))-((SUMIF(S34:S35,"Sep",P34:P35)+SUMIF(S34:S35,"Sep",O34:O35)))</f>
        <v>0</v>
      </c>
      <c r="O14" s="219">
        <f>SUMIF(S34:S35,"Sep",Q34:Q35)</f>
        <v>0</v>
      </c>
      <c r="Q14" s="221">
        <f>COUNTIF(S34:S35,"Sep")</f>
        <v>0</v>
      </c>
      <c r="R14" s="218">
        <f>SUMIF(S39:S40,"Sep",N39:N40)+SUMIF(S39:S40,"Sep",H39:H40)</f>
        <v>0</v>
      </c>
      <c r="S14" s="219">
        <f>(SUMIF(S39:S40,"Sep",L39:L40))-((SUMIF(S39:S40,"Sep",P39:P40)+SUMIF(S39:S40,"Sep",O39:O40)))</f>
        <v>0</v>
      </c>
      <c r="T14" s="219">
        <f>SUMIF(S39:S40,"Sep",Q39:Q40)</f>
        <v>0</v>
      </c>
      <c r="V14" s="221">
        <f>COUNTIF(S39:S40,"Sep")</f>
        <v>0</v>
      </c>
    </row>
    <row r="15" spans="2:22" x14ac:dyDescent="0.2">
      <c r="B15" s="83" t="s">
        <v>21</v>
      </c>
      <c r="C15" s="218">
        <f>SUMIF(S21:S25,"Oct",N21:N25)+SUMIF(S21:S25,"Oct",H21:H25)</f>
        <v>0</v>
      </c>
      <c r="D15" s="219">
        <f>(SUMIF(S21:S25,"Oct",L21:L25))-((SUMIF(S21:S25,"Oct",P21:P25)+SUMIF(S21:S25,"OCt",O21:O25)))</f>
        <v>0</v>
      </c>
      <c r="E15" s="219">
        <f>SUMIF(S21:S25,"Oct",Q21:Q25)</f>
        <v>0</v>
      </c>
      <c r="F15" s="220"/>
      <c r="G15" s="221">
        <f>COUNTIF(S21:S21,"Oct")</f>
        <v>0</v>
      </c>
      <c r="H15" s="218">
        <f>SUMIF(S29:S30,"Oct",N29:N30)+SUMIF(S29:S30,"Oct",H29:H30)</f>
        <v>0</v>
      </c>
      <c r="I15" s="219">
        <f>(SUMIF(S29:S30,"Oct",L29:L30))-((SUMIF(S29:S30,"Oct",P29:P30)+SUMIF(S29:S30,"Oct",O29:O30)))</f>
        <v>0</v>
      </c>
      <c r="J15" s="219">
        <f>SUMIF(S29:S30,"Oct",Q29:Q30)</f>
        <v>0</v>
      </c>
      <c r="L15" s="221">
        <f>COUNTIF(S29:S30,"Oct")</f>
        <v>0</v>
      </c>
      <c r="M15" s="218">
        <f>SUMIF(S34:S35,"Oct",N34:N35)+SUMIF(S34:S35,"Oct",H34:H35)</f>
        <v>0</v>
      </c>
      <c r="N15" s="219">
        <f>(SUMIF(S34:S35,"Oct",L34:L35))-((SUMIF(S34:S35,"Oct",P34:P35)+SUMIF(S34:S35,"Oct",O34:O35)))</f>
        <v>0</v>
      </c>
      <c r="O15" s="219">
        <f>SUMIF(S34:S35,"Oct",Q34:Q35)</f>
        <v>0</v>
      </c>
      <c r="Q15" s="221">
        <f>COUNTIF(S34:S35,"Oct")</f>
        <v>0</v>
      </c>
      <c r="R15" s="218">
        <f>SUMIF(S39:S40,"Oct",N39:N40)+SUMIF(S39:S40,"Oct",H39:H40)</f>
        <v>0</v>
      </c>
      <c r="S15" s="219">
        <f>(SUMIF(S39:S40,"Oct",L39:L40))-((SUMIF(S39:S40,"Oct",P39:P40)+SUMIF(S39:S40,"Oct",O39:O40)))</f>
        <v>0</v>
      </c>
      <c r="T15" s="219">
        <f>SUMIF(S39:S40,"Oct",Q39:Q40)</f>
        <v>0</v>
      </c>
      <c r="V15" s="221">
        <f>COUNTIF(S39:S40,"Oct")</f>
        <v>0</v>
      </c>
    </row>
    <row r="16" spans="2:22" x14ac:dyDescent="0.2">
      <c r="B16" s="83" t="s">
        <v>22</v>
      </c>
      <c r="C16" s="218">
        <f>SUMIF(S21:S25,"Nov",N21:N25)+SUMIF(S21:S25,"Nov",H21:H25)</f>
        <v>5055.0587999999998</v>
      </c>
      <c r="D16" s="219">
        <f>(SUMIF(S21:S25,"Nov",L21:L25))-((SUMIF(S21:S25,"Nov",P21:P25)+SUMIF(S21:S25,"Nov",O21:O25)))</f>
        <v>5593.17</v>
      </c>
      <c r="E16" s="219">
        <f>SUMIF(S21:S25,"Nov",Q21:Q25)</f>
        <v>538.11119999999937</v>
      </c>
      <c r="F16" s="220">
        <f>E16/C16</f>
        <v>0.10645003773249866</v>
      </c>
      <c r="G16" s="221">
        <f>COUNTIF(S21:S25,"Nov")</f>
        <v>1</v>
      </c>
      <c r="H16" s="218">
        <f>SUMIF(S29:S30,"Nov",N29:N30)+SUMIF(S29:S30,"Nov",H29:H30)</f>
        <v>0</v>
      </c>
      <c r="I16" s="219">
        <f>(SUMIF(S29:S30,"Nov",L29:L30))-((SUMIF(S29:S30,"Nov",P29:P30)+SUMIF(S29:S30,"Nov",O29:O30)))</f>
        <v>0</v>
      </c>
      <c r="J16" s="219">
        <f>SUMIF(S29:S30,"Nov",Q29:Q30)</f>
        <v>0</v>
      </c>
      <c r="L16" s="221">
        <f>COUNTIF(S29:S30,"Nov")</f>
        <v>0</v>
      </c>
      <c r="M16" s="218">
        <f>SUMIF(S34:S35,"Nov",N34:N35)+SUMIF(S34:S35,"Nov",H34:H35)</f>
        <v>0</v>
      </c>
      <c r="N16" s="219">
        <f>(SUMIF(S34:S35,"Nov",L34:L35))-((SUMIF(S34:S35,"Nov",P34:P35)+SUMIF(S34:S35,"Nov",O34:O35)))</f>
        <v>0</v>
      </c>
      <c r="O16" s="219">
        <f>SUMIF(S34:S35,"Nov",Q34:Q35)</f>
        <v>0</v>
      </c>
      <c r="Q16" s="221">
        <f>COUNTIF(S34:S35,"Nov")</f>
        <v>0</v>
      </c>
      <c r="R16" s="218">
        <f>SUMIF(S39:S40,"Nov",N39:N40)+SUMIF(S39:S40,"Nov",H39:H40)</f>
        <v>0</v>
      </c>
      <c r="S16" s="219">
        <f>(SUMIF(S39:S40,"Nov",L39:L40))-((SUMIF(S39:S40,"Nov",P39:P40)+SUMIF(S39:S40,"Nov",O39:O40)))</f>
        <v>0</v>
      </c>
      <c r="T16" s="219">
        <f>SUMIF(S39:S40,"Nov",Q39:Q40)</f>
        <v>0</v>
      </c>
      <c r="V16" s="221">
        <f>COUNTIF(S39:S40,"Nov")</f>
        <v>0</v>
      </c>
    </row>
    <row r="17" spans="2:27" x14ac:dyDescent="0.2">
      <c r="B17" s="83" t="s">
        <v>23</v>
      </c>
      <c r="C17" s="218">
        <f>SUMIF(S21:S25,"Dic",N21:N25)+SUMIF(S21:S25,"Dic",H21:H25)</f>
        <v>0</v>
      </c>
      <c r="D17" s="219">
        <f>(SUMIF(S21:S25,"Dic",L21:L25))-((SUMIF(S21:S25,"Dic",P21:P25)+SUMIF(S21:S25,"Dic",O21:O25)))</f>
        <v>0</v>
      </c>
      <c r="E17" s="219">
        <f>SUMIF(S21:S25,"Dic",Q21:Q25)</f>
        <v>0</v>
      </c>
      <c r="F17" s="220"/>
      <c r="G17" s="221">
        <f>COUNTIF(S21:S21,"Dic")</f>
        <v>0</v>
      </c>
      <c r="H17" s="218">
        <f>SUMIF(S29:S30,"Dic",N29:N30)+SUMIF(S29:S30,"Dic",H29:H30)</f>
        <v>0</v>
      </c>
      <c r="I17" s="219">
        <f>(SUMIF(S29:S30,"Dic",L29:L30))-((SUMIF(S29:S30,"Dic",P29:P30)+SUMIF(S29:S30,"Dic",O29:O30)))</f>
        <v>0</v>
      </c>
      <c r="J17" s="219">
        <f>SUMIF(S29:S30,"Dic",Q29:Q30)</f>
        <v>0</v>
      </c>
      <c r="L17" s="221">
        <f>COUNTIF(S29:S30,"Dic")</f>
        <v>0</v>
      </c>
      <c r="M17" s="218">
        <f>SUMIF(S34:S35,"Dic",N34:N35)+SUMIF(S34:S35,"Dic",H34:H35)</f>
        <v>0</v>
      </c>
      <c r="N17" s="219">
        <f>(SUMIF(S34:S35,"Dic",L34:L35))-((SUMIF(S34:S35,"Dic",P34:P35)+SUMIF(S34:S35,"Dic",O34:O35)))</f>
        <v>0</v>
      </c>
      <c r="O17" s="219">
        <f>SUMIF(S34:S35,"Dic",Q34:Q35)</f>
        <v>0</v>
      </c>
      <c r="Q17" s="221">
        <f>COUNTIF(S34:S35,"Dic")</f>
        <v>0</v>
      </c>
      <c r="R17" s="218">
        <f>SUMIF(S39:S40,"Dic",N39:N40)+SUMIF(S39:S40,"Dic",H39:H40)</f>
        <v>0</v>
      </c>
      <c r="S17" s="219">
        <f>(SUMIF(S39:S40,"Dic",L39:L40))-((SUMIF(S39:S40,"Dic",P39:P40)+SUMIF(S39:S40,"Dic",O39:O40)))</f>
        <v>0</v>
      </c>
      <c r="T17" s="219">
        <f>SUMIF(S39:S40,"Dic",Q39:Q40)</f>
        <v>0</v>
      </c>
      <c r="V17" s="221">
        <f>COUNTIF(S39:S40,"Dic")</f>
        <v>0</v>
      </c>
    </row>
    <row r="18" spans="2:27" x14ac:dyDescent="0.2">
      <c r="B18" s="84" t="s">
        <v>42</v>
      </c>
      <c r="C18" s="87">
        <f>SUM(C6:C17)</f>
        <v>15083.431219999999</v>
      </c>
      <c r="D18" s="88">
        <f t="shared" ref="D18:E18" si="0">SUM(D6:D17)</f>
        <v>16002.114808</v>
      </c>
      <c r="E18" s="88">
        <f t="shared" si="0"/>
        <v>918.68358799999896</v>
      </c>
      <c r="F18" s="89">
        <f>E18/C18</f>
        <v>6.0906803936087363E-2</v>
      </c>
      <c r="G18" s="90">
        <f t="shared" ref="G18:J18" si="1">SUM(G6:G17)</f>
        <v>4</v>
      </c>
      <c r="H18" s="91">
        <f t="shared" si="1"/>
        <v>0</v>
      </c>
      <c r="I18" s="92">
        <f t="shared" si="1"/>
        <v>0</v>
      </c>
      <c r="J18" s="92">
        <f t="shared" si="1"/>
        <v>0</v>
      </c>
      <c r="K18" s="93" t="e">
        <f>J18/H18</f>
        <v>#DIV/0!</v>
      </c>
      <c r="L18" s="94">
        <f t="shared" ref="L18:N18" si="2">SUM(L6:L17)</f>
        <v>0</v>
      </c>
      <c r="M18" s="95">
        <f t="shared" si="2"/>
        <v>0</v>
      </c>
      <c r="N18" s="96">
        <f t="shared" si="2"/>
        <v>0</v>
      </c>
      <c r="O18" s="96">
        <f>SUM(O6:O17)</f>
        <v>0</v>
      </c>
      <c r="P18" s="97" t="e">
        <f>O18/M18</f>
        <v>#DIV/0!</v>
      </c>
      <c r="Q18" s="98">
        <f>SUM(Q6:Q17)</f>
        <v>0</v>
      </c>
      <c r="R18" s="99">
        <f t="shared" ref="R18:S18" si="3">SUM(R6:R17)</f>
        <v>0</v>
      </c>
      <c r="S18" s="100">
        <f t="shared" si="3"/>
        <v>0</v>
      </c>
      <c r="T18" s="100">
        <f>S18-R18</f>
        <v>0</v>
      </c>
      <c r="U18" s="101" t="e">
        <f>T18/R18</f>
        <v>#DIV/0!</v>
      </c>
      <c r="V18" s="102">
        <f>SUM(V6:V17)</f>
        <v>0</v>
      </c>
    </row>
    <row r="19" spans="2:27" s="222" customFormat="1" x14ac:dyDescent="0.2">
      <c r="C19" s="223"/>
      <c r="F19" s="224"/>
      <c r="G19" s="225"/>
      <c r="H19" s="223"/>
      <c r="I19" s="226"/>
      <c r="J19" s="226"/>
      <c r="K19" s="224"/>
      <c r="L19" s="224"/>
      <c r="M19" s="224"/>
    </row>
    <row r="20" spans="2:27" x14ac:dyDescent="0.2">
      <c r="B20" s="5" t="s">
        <v>9</v>
      </c>
      <c r="C20" s="2" t="s">
        <v>24</v>
      </c>
      <c r="D20" s="2" t="s">
        <v>95</v>
      </c>
      <c r="E20" s="2" t="s">
        <v>7</v>
      </c>
      <c r="F20" s="5" t="s">
        <v>2</v>
      </c>
      <c r="G20" s="3" t="s">
        <v>3</v>
      </c>
      <c r="H20" s="4" t="s">
        <v>122</v>
      </c>
      <c r="I20" s="2" t="s">
        <v>8</v>
      </c>
      <c r="J20" s="3" t="s">
        <v>4</v>
      </c>
      <c r="K20" s="3" t="s">
        <v>5</v>
      </c>
      <c r="L20" s="3" t="s">
        <v>123</v>
      </c>
      <c r="M20" s="4" t="s">
        <v>120</v>
      </c>
      <c r="N20" s="6" t="s">
        <v>103</v>
      </c>
      <c r="O20" s="6" t="s">
        <v>104</v>
      </c>
      <c r="P20" s="6" t="s">
        <v>89</v>
      </c>
      <c r="Q20" s="6" t="s">
        <v>11</v>
      </c>
      <c r="R20" s="6" t="s">
        <v>45</v>
      </c>
      <c r="S20" s="6" t="s">
        <v>73</v>
      </c>
      <c r="T20" s="6" t="s">
        <v>25</v>
      </c>
    </row>
    <row r="21" spans="2:27" ht="13.9" customHeight="1" x14ac:dyDescent="0.2">
      <c r="B21" s="247" t="s">
        <v>26</v>
      </c>
      <c r="C21" s="13"/>
      <c r="D21" s="154"/>
      <c r="E21" s="13"/>
      <c r="F21" s="143"/>
      <c r="G21" s="18"/>
      <c r="H21" s="12"/>
      <c r="I21" s="13"/>
      <c r="J21" s="18"/>
      <c r="K21" s="18"/>
      <c r="L21" s="12"/>
      <c r="M21" s="12"/>
      <c r="N21" s="12"/>
      <c r="O21" s="12"/>
      <c r="P21" s="12"/>
      <c r="Q21" s="12"/>
      <c r="R21" s="220"/>
      <c r="W21" s="219"/>
      <c r="X21" s="219"/>
    </row>
    <row r="22" spans="2:27" x14ac:dyDescent="0.2">
      <c r="B22" s="247"/>
      <c r="C22" s="13" t="s">
        <v>50</v>
      </c>
      <c r="D22" s="154">
        <v>2</v>
      </c>
      <c r="E22" s="13">
        <v>45947</v>
      </c>
      <c r="F22" s="143">
        <v>1700</v>
      </c>
      <c r="G22" s="18">
        <v>2.97</v>
      </c>
      <c r="H22" s="12">
        <f>G22*F22</f>
        <v>5049</v>
      </c>
      <c r="I22" s="13">
        <v>45965</v>
      </c>
      <c r="J22" s="18">
        <v>3.3</v>
      </c>
      <c r="K22" s="18">
        <f>J22-G22</f>
        <v>0.32999999999999963</v>
      </c>
      <c r="L22" s="12">
        <f>F22*J22</f>
        <v>5610</v>
      </c>
      <c r="M22" s="12">
        <f>F22*K22</f>
        <v>560.99999999999932</v>
      </c>
      <c r="N22" s="12" cm="1">
        <f t="array" ref="N22">_xlfn.IFS(E22="",0,H22&lt;4166.67,5,H22&gt;4166.67,H22*0.12%)</f>
        <v>6.0587999999999997</v>
      </c>
      <c r="O22" s="12" cm="1">
        <f t="array" ref="O22">_xlfn.IFS(I22="",0,L22&lt;4166.67,5,L22&gt;4166.67,L22*0.12%)</f>
        <v>6.7319999999999993</v>
      </c>
      <c r="P22" s="12">
        <f t="shared" ref="P22" si="4">H22*0.002</f>
        <v>10.098000000000001</v>
      </c>
      <c r="Q22" s="12">
        <f t="shared" ref="Q22" si="5">M22-(N22+O22+P22)</f>
        <v>538.11119999999937</v>
      </c>
      <c r="R22" s="220">
        <f>Q22/H22</f>
        <v>0.10657777777777765</v>
      </c>
      <c r="S22" s="216" t="s">
        <v>22</v>
      </c>
      <c r="T22" s="216" t="s">
        <v>38</v>
      </c>
      <c r="W22" s="219"/>
      <c r="Z22" s="219"/>
    </row>
    <row r="23" spans="2:27" x14ac:dyDescent="0.2">
      <c r="B23" s="247"/>
      <c r="C23" s="13" t="s">
        <v>50</v>
      </c>
      <c r="D23" s="154">
        <v>1</v>
      </c>
      <c r="E23" s="13">
        <v>45917</v>
      </c>
      <c r="F23" s="143">
        <v>600</v>
      </c>
      <c r="G23" s="18">
        <v>3.16</v>
      </c>
      <c r="H23" s="12">
        <f>G23*F23</f>
        <v>1896</v>
      </c>
      <c r="I23" s="13">
        <v>45919</v>
      </c>
      <c r="J23" s="18">
        <v>3.2829999999999999</v>
      </c>
      <c r="K23" s="18">
        <f>J23-G23</f>
        <v>0.12299999999999978</v>
      </c>
      <c r="L23" s="12">
        <f>F23*J23</f>
        <v>1969.8</v>
      </c>
      <c r="M23" s="12">
        <f>F23*K23</f>
        <v>73.799999999999869</v>
      </c>
      <c r="N23" s="12"/>
      <c r="O23" s="12" cm="1">
        <f t="array" ref="O23">_xlfn.IFS(I23="",0,L23&lt;4166.67,5,L23&gt;4166.67,L23*0.12%)</f>
        <v>5</v>
      </c>
      <c r="P23" s="12"/>
      <c r="Q23" s="12">
        <f t="shared" ref="Q23" si="6">M23-(N23+O23+P23)</f>
        <v>68.799999999999869</v>
      </c>
      <c r="R23" s="220">
        <f>Q23/H23</f>
        <v>3.6286919831223563E-2</v>
      </c>
      <c r="S23" s="216" t="s">
        <v>20</v>
      </c>
      <c r="T23" s="216" t="s">
        <v>38</v>
      </c>
      <c r="W23" s="219"/>
      <c r="Z23" s="219"/>
    </row>
    <row r="24" spans="2:27" x14ac:dyDescent="0.2">
      <c r="B24" s="247"/>
      <c r="C24" s="13" t="s">
        <v>50</v>
      </c>
      <c r="D24" s="154">
        <v>1</v>
      </c>
      <c r="E24" s="13">
        <v>45917</v>
      </c>
      <c r="F24" s="143">
        <v>1000</v>
      </c>
      <c r="G24" s="18">
        <v>3.16</v>
      </c>
      <c r="H24" s="12">
        <f>G24*F24</f>
        <v>3160</v>
      </c>
      <c r="I24" s="13">
        <v>45919</v>
      </c>
      <c r="J24" s="18">
        <v>3.28</v>
      </c>
      <c r="K24" s="18">
        <f>J24-G24</f>
        <v>0.11999999999999966</v>
      </c>
      <c r="L24" s="12">
        <f>F24*J24</f>
        <v>3280</v>
      </c>
      <c r="M24" s="12">
        <f>F24*K24</f>
        <v>119.99999999999966</v>
      </c>
      <c r="N24" s="12">
        <v>6.07</v>
      </c>
      <c r="O24" s="12" cm="1">
        <f t="array" ref="O24">_xlfn.IFS(I24="",0,L24&lt;4166.67,5,L24&gt;4166.67,L24*0.12%)</f>
        <v>5</v>
      </c>
      <c r="P24" s="12">
        <v>10.11</v>
      </c>
      <c r="Q24" s="12">
        <f t="shared" ref="Q24" si="7">M24-(N24+O24+P24)</f>
        <v>98.819999999999652</v>
      </c>
      <c r="R24" s="220">
        <f>Q24/H24</f>
        <v>3.1272151898734064E-2</v>
      </c>
      <c r="S24" s="216" t="s">
        <v>20</v>
      </c>
      <c r="T24" s="216" t="s">
        <v>38</v>
      </c>
      <c r="W24" s="219"/>
      <c r="Z24" s="219"/>
    </row>
    <row r="25" spans="2:27" x14ac:dyDescent="0.2">
      <c r="B25" s="247"/>
      <c r="C25" s="13" t="s">
        <v>49</v>
      </c>
      <c r="D25" s="154">
        <v>1</v>
      </c>
      <c r="E25" s="13">
        <v>45825</v>
      </c>
      <c r="F25" s="143">
        <v>730</v>
      </c>
      <c r="G25" s="18">
        <v>6.7949999999999999</v>
      </c>
      <c r="H25" s="12">
        <f>G25*F25</f>
        <v>4960.3500000000004</v>
      </c>
      <c r="I25" s="13">
        <v>45832</v>
      </c>
      <c r="J25" s="18">
        <v>7.117</v>
      </c>
      <c r="K25" s="18">
        <f>J25-G25</f>
        <v>0.32200000000000006</v>
      </c>
      <c r="L25" s="12">
        <f t="shared" ref="L25" si="8">F25*J25</f>
        <v>5195.41</v>
      </c>
      <c r="M25" s="12">
        <f>F25*K25</f>
        <v>235.06000000000006</v>
      </c>
      <c r="N25" s="12" cm="1">
        <f t="array" ref="N25">_xlfn.IFS(E25="",0,H25&lt;4166.67,5,H25&gt;4166.67,H25*0.12%)</f>
        <v>5.95242</v>
      </c>
      <c r="O25" s="12" cm="1">
        <f t="array" ref="O25">_xlfn.IFS(I25="",0,L25&lt;4166.67,5,L25&gt;4166.67,L25*0.12%)</f>
        <v>6.2344919999999995</v>
      </c>
      <c r="P25" s="12">
        <f>H25*0.002</f>
        <v>9.9207000000000001</v>
      </c>
      <c r="Q25" s="12">
        <f>M25-(N25+O25+P25)</f>
        <v>212.95238800000007</v>
      </c>
      <c r="R25" s="220">
        <f>Q25/H25</f>
        <v>4.2930919793966162E-2</v>
      </c>
      <c r="S25" s="216" t="s">
        <v>17</v>
      </c>
      <c r="T25" s="216" t="s">
        <v>38</v>
      </c>
      <c r="W25" s="219"/>
      <c r="Z25" s="219"/>
    </row>
    <row r="26" spans="2:27" x14ac:dyDescent="0.2">
      <c r="B26" s="247"/>
      <c r="C26" s="15"/>
      <c r="D26" s="15" t="s">
        <v>69</v>
      </c>
      <c r="E26" s="132" t="s">
        <v>125</v>
      </c>
      <c r="F26" s="15" t="s">
        <v>31</v>
      </c>
      <c r="G26" s="15" t="s">
        <v>34</v>
      </c>
      <c r="H26" s="15" t="s">
        <v>124</v>
      </c>
      <c r="I26" s="132" t="s">
        <v>113</v>
      </c>
      <c r="J26" s="15" t="s">
        <v>35</v>
      </c>
      <c r="K26" s="15" t="s">
        <v>33</v>
      </c>
      <c r="L26" s="15" t="s">
        <v>121</v>
      </c>
      <c r="M26" s="15" t="s">
        <v>36</v>
      </c>
      <c r="N26" s="15" t="s">
        <v>105</v>
      </c>
      <c r="O26" s="15" t="s">
        <v>106</v>
      </c>
      <c r="P26" s="15" t="s">
        <v>89</v>
      </c>
      <c r="Q26" s="16" t="s">
        <v>32</v>
      </c>
      <c r="R26" s="16" t="s">
        <v>45</v>
      </c>
      <c r="S26" s="132" t="s">
        <v>36</v>
      </c>
      <c r="T26" s="132" t="s">
        <v>127</v>
      </c>
      <c r="AA26" s="219"/>
    </row>
    <row r="27" spans="2:27" x14ac:dyDescent="0.2">
      <c r="B27" s="247"/>
      <c r="C27" s="7"/>
      <c r="D27" s="157">
        <f>COUNTA(E21:E25)</f>
        <v>4</v>
      </c>
      <c r="E27" s="131">
        <f>H27+N27</f>
        <v>15083.43122</v>
      </c>
      <c r="F27" s="146">
        <f>SUM(F21:F25)</f>
        <v>4030</v>
      </c>
      <c r="G27" s="19">
        <f>AVERAGE(G21:G25)</f>
        <v>4.0212500000000002</v>
      </c>
      <c r="H27" s="20">
        <f>SUM(H21:H25)</f>
        <v>15065.35</v>
      </c>
      <c r="I27" s="131">
        <f>L27-(O27+P27)</f>
        <v>16002.114807999998</v>
      </c>
      <c r="J27" s="19">
        <f>AVERAGE(J21:J25)</f>
        <v>4.2450000000000001</v>
      </c>
      <c r="K27" s="19">
        <f t="shared" ref="K27:Q27" si="9">SUM(K21:K25)</f>
        <v>0.89499999999999913</v>
      </c>
      <c r="L27" s="20">
        <f t="shared" si="9"/>
        <v>16055.21</v>
      </c>
      <c r="M27" s="20">
        <f t="shared" si="9"/>
        <v>989.85999999999888</v>
      </c>
      <c r="N27" s="20">
        <f t="shared" si="9"/>
        <v>18.081220000000002</v>
      </c>
      <c r="O27" s="20">
        <f t="shared" si="9"/>
        <v>22.966491999999999</v>
      </c>
      <c r="P27" s="20">
        <f t="shared" si="9"/>
        <v>30.128699999999998</v>
      </c>
      <c r="Q27" s="20">
        <f t="shared" si="9"/>
        <v>918.68358799999885</v>
      </c>
      <c r="R27" s="110">
        <f>Q27/H27</f>
        <v>6.0979903420763461E-2</v>
      </c>
      <c r="S27" s="131">
        <f>SUM(P21:Q25)</f>
        <v>948.81228799999894</v>
      </c>
      <c r="T27" s="131">
        <f>I27-E27</f>
        <v>918.68358799999805</v>
      </c>
      <c r="V27" s="219"/>
      <c r="W27" s="219"/>
    </row>
    <row r="28" spans="2:27" x14ac:dyDescent="0.2">
      <c r="B28" s="5" t="s">
        <v>9</v>
      </c>
      <c r="C28" s="2" t="s">
        <v>24</v>
      </c>
      <c r="D28" s="2" t="s">
        <v>95</v>
      </c>
      <c r="E28" s="2" t="s">
        <v>7</v>
      </c>
      <c r="F28" s="5" t="s">
        <v>2</v>
      </c>
      <c r="G28" s="3" t="s">
        <v>3</v>
      </c>
      <c r="H28" s="4" t="s">
        <v>122</v>
      </c>
      <c r="I28" s="2" t="s">
        <v>8</v>
      </c>
      <c r="J28" s="3" t="s">
        <v>4</v>
      </c>
      <c r="K28" s="3" t="s">
        <v>5</v>
      </c>
      <c r="L28" s="3" t="s">
        <v>123</v>
      </c>
      <c r="M28" s="4" t="s">
        <v>120</v>
      </c>
      <c r="N28" s="6" t="s">
        <v>103</v>
      </c>
      <c r="O28" s="6" t="s">
        <v>104</v>
      </c>
      <c r="P28" s="6" t="s">
        <v>89</v>
      </c>
      <c r="Q28" s="6" t="s">
        <v>11</v>
      </c>
      <c r="R28" s="6" t="s">
        <v>45</v>
      </c>
      <c r="S28" s="6" t="s">
        <v>73</v>
      </c>
      <c r="T28" s="6" t="s">
        <v>25</v>
      </c>
    </row>
    <row r="29" spans="2:27" x14ac:dyDescent="0.2">
      <c r="B29" s="248" t="s">
        <v>28</v>
      </c>
      <c r="C29" s="13"/>
      <c r="D29" s="154"/>
      <c r="E29" s="13"/>
      <c r="F29" s="143"/>
      <c r="G29" s="18"/>
      <c r="H29" s="12"/>
      <c r="I29" s="13"/>
      <c r="J29" s="18"/>
      <c r="K29" s="18"/>
      <c r="L29" s="12"/>
      <c r="M29" s="12"/>
      <c r="N29" s="12"/>
      <c r="O29" s="12"/>
      <c r="P29" s="12"/>
      <c r="Q29" s="128"/>
      <c r="R29" s="220"/>
    </row>
    <row r="30" spans="2:27" x14ac:dyDescent="0.2">
      <c r="B30" s="248"/>
      <c r="C30" s="13"/>
      <c r="D30" s="154"/>
      <c r="E30" s="13"/>
      <c r="F30" s="143"/>
      <c r="G30" s="18"/>
      <c r="H30" s="12"/>
      <c r="I30" s="13"/>
      <c r="J30" s="18"/>
      <c r="K30" s="18"/>
      <c r="L30" s="12"/>
      <c r="M30" s="12"/>
      <c r="N30" s="12"/>
      <c r="O30" s="12"/>
      <c r="P30" s="12"/>
      <c r="Q30" s="128"/>
      <c r="R30" s="220"/>
    </row>
    <row r="31" spans="2:27" x14ac:dyDescent="0.2">
      <c r="B31" s="248"/>
      <c r="C31" s="15"/>
      <c r="D31" s="15" t="s">
        <v>69</v>
      </c>
      <c r="E31" s="132" t="s">
        <v>125</v>
      </c>
      <c r="F31" s="15" t="s">
        <v>31</v>
      </c>
      <c r="G31" s="15" t="s">
        <v>34</v>
      </c>
      <c r="H31" s="15" t="s">
        <v>124</v>
      </c>
      <c r="I31" s="132" t="s">
        <v>113</v>
      </c>
      <c r="J31" s="15" t="s">
        <v>35</v>
      </c>
      <c r="K31" s="15" t="s">
        <v>33</v>
      </c>
      <c r="L31" s="15" t="s">
        <v>121</v>
      </c>
      <c r="M31" s="15" t="s">
        <v>36</v>
      </c>
      <c r="N31" s="15" t="s">
        <v>105</v>
      </c>
      <c r="O31" s="15" t="s">
        <v>106</v>
      </c>
      <c r="P31" s="15" t="s">
        <v>89</v>
      </c>
      <c r="Q31" s="16" t="s">
        <v>32</v>
      </c>
      <c r="R31" s="16" t="s">
        <v>45</v>
      </c>
      <c r="S31" s="132" t="s">
        <v>36</v>
      </c>
      <c r="T31" s="132" t="s">
        <v>127</v>
      </c>
    </row>
    <row r="32" spans="2:27" x14ac:dyDescent="0.2">
      <c r="B32" s="248"/>
      <c r="C32" s="8"/>
      <c r="D32" s="160">
        <f>COUNTA(E29:E30)</f>
        <v>0</v>
      </c>
      <c r="E32" s="127">
        <f>H32+N32</f>
        <v>0</v>
      </c>
      <c r="F32" s="145">
        <f>SUM(F29:F30)</f>
        <v>0</v>
      </c>
      <c r="G32" s="21" t="e">
        <f>AVERAGE(G29:G30)</f>
        <v>#DIV/0!</v>
      </c>
      <c r="H32" s="22">
        <f>SUM(H29:H30)</f>
        <v>0</v>
      </c>
      <c r="I32" s="127">
        <f>L32-(O32+P32)</f>
        <v>0</v>
      </c>
      <c r="J32" s="21" t="e">
        <f>AVERAGE(J29:J30)</f>
        <v>#DIV/0!</v>
      </c>
      <c r="K32" s="22">
        <f t="shared" ref="K32:Q32" si="10">SUM(K29:K30)</f>
        <v>0</v>
      </c>
      <c r="L32" s="22">
        <f t="shared" si="10"/>
        <v>0</v>
      </c>
      <c r="M32" s="22">
        <f t="shared" si="10"/>
        <v>0</v>
      </c>
      <c r="N32" s="22">
        <f t="shared" si="10"/>
        <v>0</v>
      </c>
      <c r="O32" s="22">
        <f t="shared" si="10"/>
        <v>0</v>
      </c>
      <c r="P32" s="22">
        <f t="shared" si="10"/>
        <v>0</v>
      </c>
      <c r="Q32" s="22">
        <f t="shared" si="10"/>
        <v>0</v>
      </c>
      <c r="R32" s="111" t="e">
        <f>Q32/H32</f>
        <v>#DIV/0!</v>
      </c>
      <c r="S32" s="127">
        <f>SUM(P29:Q30)</f>
        <v>0</v>
      </c>
      <c r="T32" s="127">
        <f>I32-E32</f>
        <v>0</v>
      </c>
    </row>
    <row r="33" spans="2:24" x14ac:dyDescent="0.2">
      <c r="B33" s="5" t="s">
        <v>9</v>
      </c>
      <c r="C33" s="2" t="s">
        <v>24</v>
      </c>
      <c r="D33" s="2" t="s">
        <v>95</v>
      </c>
      <c r="E33" s="2" t="s">
        <v>7</v>
      </c>
      <c r="F33" s="5" t="s">
        <v>2</v>
      </c>
      <c r="G33" s="3" t="s">
        <v>3</v>
      </c>
      <c r="H33" s="4" t="s">
        <v>1</v>
      </c>
      <c r="I33" s="2" t="s">
        <v>8</v>
      </c>
      <c r="J33" s="3" t="s">
        <v>4</v>
      </c>
      <c r="K33" s="3" t="s">
        <v>5</v>
      </c>
      <c r="L33" s="3" t="s">
        <v>123</v>
      </c>
      <c r="M33" s="4" t="s">
        <v>120</v>
      </c>
      <c r="N33" s="6" t="s">
        <v>103</v>
      </c>
      <c r="O33" s="6" t="s">
        <v>104</v>
      </c>
      <c r="P33" s="6" t="s">
        <v>89</v>
      </c>
      <c r="Q33" s="6" t="s">
        <v>11</v>
      </c>
      <c r="R33" s="6" t="s">
        <v>45</v>
      </c>
      <c r="S33" s="6" t="s">
        <v>73</v>
      </c>
      <c r="T33" s="6" t="s">
        <v>25</v>
      </c>
    </row>
    <row r="34" spans="2:24" x14ac:dyDescent="0.2">
      <c r="B34" s="249" t="s">
        <v>40</v>
      </c>
      <c r="C34" s="13"/>
      <c r="D34" s="154"/>
      <c r="E34" s="13"/>
      <c r="F34" s="143"/>
      <c r="G34" s="18"/>
      <c r="H34" s="12"/>
      <c r="I34" s="13"/>
      <c r="J34" s="18"/>
      <c r="K34" s="18"/>
      <c r="L34" s="12"/>
      <c r="M34" s="12"/>
      <c r="N34" s="12"/>
      <c r="O34" s="12"/>
      <c r="P34" s="12"/>
      <c r="Q34" s="128"/>
      <c r="R34" s="220"/>
      <c r="X34" s="219"/>
    </row>
    <row r="35" spans="2:24" x14ac:dyDescent="0.2">
      <c r="B35" s="249"/>
      <c r="C35" s="13"/>
      <c r="D35" s="154"/>
      <c r="E35" s="13"/>
      <c r="F35" s="143"/>
      <c r="G35" s="18"/>
      <c r="H35" s="12"/>
      <c r="I35" s="13"/>
      <c r="J35" s="18"/>
      <c r="K35" s="18"/>
      <c r="L35" s="12"/>
      <c r="M35" s="12"/>
      <c r="N35" s="12"/>
      <c r="O35" s="12"/>
      <c r="P35" s="12"/>
      <c r="Q35" s="128"/>
      <c r="R35" s="220"/>
      <c r="W35" s="219"/>
      <c r="X35" s="219"/>
    </row>
    <row r="36" spans="2:24" x14ac:dyDescent="0.2">
      <c r="B36" s="249"/>
      <c r="C36" s="15"/>
      <c r="D36" s="15" t="s">
        <v>69</v>
      </c>
      <c r="E36" s="132" t="s">
        <v>125</v>
      </c>
      <c r="F36" s="15" t="s">
        <v>31</v>
      </c>
      <c r="G36" s="15" t="s">
        <v>34</v>
      </c>
      <c r="H36" s="15" t="s">
        <v>124</v>
      </c>
      <c r="I36" s="132" t="s">
        <v>113</v>
      </c>
      <c r="J36" s="15" t="s">
        <v>35</v>
      </c>
      <c r="K36" s="15" t="s">
        <v>33</v>
      </c>
      <c r="L36" s="15" t="s">
        <v>121</v>
      </c>
      <c r="M36" s="15" t="s">
        <v>36</v>
      </c>
      <c r="N36" s="15" t="s">
        <v>105</v>
      </c>
      <c r="O36" s="15" t="s">
        <v>106</v>
      </c>
      <c r="P36" s="15" t="s">
        <v>89</v>
      </c>
      <c r="Q36" s="16" t="s">
        <v>32</v>
      </c>
      <c r="R36" s="16" t="s">
        <v>45</v>
      </c>
      <c r="S36" s="132" t="s">
        <v>36</v>
      </c>
      <c r="T36" s="132" t="s">
        <v>127</v>
      </c>
      <c r="W36" s="219"/>
      <c r="X36" s="219"/>
    </row>
    <row r="37" spans="2:24" x14ac:dyDescent="0.2">
      <c r="B37" s="249"/>
      <c r="C37" s="9"/>
      <c r="D37" s="159">
        <f>COUNTA(E34:E35)</f>
        <v>0</v>
      </c>
      <c r="E37" s="129">
        <f>H37+N37</f>
        <v>0</v>
      </c>
      <c r="F37" s="147">
        <f>SUM(F34:F35)</f>
        <v>0</v>
      </c>
      <c r="G37" s="48" t="e">
        <f>AVERAGE(G34:G35)</f>
        <v>#DIV/0!</v>
      </c>
      <c r="H37" s="49">
        <f>SUM(H34:H35)</f>
        <v>0</v>
      </c>
      <c r="I37" s="129">
        <f>L37-(O37+P37)</f>
        <v>0</v>
      </c>
      <c r="J37" s="48" t="e">
        <f>AVERAGE(J34:J35)</f>
        <v>#DIV/0!</v>
      </c>
      <c r="K37" s="49">
        <f t="shared" ref="K37:Q37" si="11">SUM(K34:K35)</f>
        <v>0</v>
      </c>
      <c r="L37" s="49">
        <f t="shared" si="11"/>
        <v>0</v>
      </c>
      <c r="M37" s="49">
        <f t="shared" si="11"/>
        <v>0</v>
      </c>
      <c r="N37" s="49">
        <f t="shared" si="11"/>
        <v>0</v>
      </c>
      <c r="O37" s="49">
        <f t="shared" si="11"/>
        <v>0</v>
      </c>
      <c r="P37" s="49">
        <f t="shared" si="11"/>
        <v>0</v>
      </c>
      <c r="Q37" s="49">
        <f t="shared" si="11"/>
        <v>0</v>
      </c>
      <c r="R37" s="112" t="e">
        <f>Q37/H37</f>
        <v>#DIV/0!</v>
      </c>
      <c r="S37" s="129">
        <f>SUM(P34:Q35)</f>
        <v>0</v>
      </c>
      <c r="T37" s="129">
        <f>I37-E37</f>
        <v>0</v>
      </c>
    </row>
    <row r="38" spans="2:24" x14ac:dyDescent="0.2">
      <c r="B38" s="5" t="s">
        <v>9</v>
      </c>
      <c r="C38" s="2" t="s">
        <v>24</v>
      </c>
      <c r="D38" s="2" t="s">
        <v>95</v>
      </c>
      <c r="E38" s="2" t="s">
        <v>7</v>
      </c>
      <c r="F38" s="5" t="s">
        <v>2</v>
      </c>
      <c r="G38" s="3" t="s">
        <v>3</v>
      </c>
      <c r="H38" s="4" t="s">
        <v>1</v>
      </c>
      <c r="I38" s="2" t="s">
        <v>8</v>
      </c>
      <c r="J38" s="3" t="s">
        <v>4</v>
      </c>
      <c r="K38" s="3" t="s">
        <v>5</v>
      </c>
      <c r="L38" s="3" t="s">
        <v>123</v>
      </c>
      <c r="M38" s="4" t="s">
        <v>120</v>
      </c>
      <c r="N38" s="6" t="s">
        <v>103</v>
      </c>
      <c r="O38" s="6" t="s">
        <v>104</v>
      </c>
      <c r="P38" s="6" t="s">
        <v>89</v>
      </c>
      <c r="Q38" s="6" t="s">
        <v>11</v>
      </c>
      <c r="R38" s="6" t="s">
        <v>45</v>
      </c>
      <c r="S38" s="6" t="s">
        <v>73</v>
      </c>
      <c r="T38" s="6" t="s">
        <v>25</v>
      </c>
    </row>
    <row r="39" spans="2:24" x14ac:dyDescent="0.2">
      <c r="B39" s="250" t="s">
        <v>48</v>
      </c>
      <c r="C39" s="13"/>
      <c r="D39" s="154"/>
      <c r="E39" s="13"/>
      <c r="F39" s="143"/>
      <c r="G39" s="18"/>
      <c r="H39" s="12"/>
      <c r="I39" s="13"/>
      <c r="J39" s="18"/>
      <c r="K39" s="18"/>
      <c r="L39" s="12"/>
      <c r="M39" s="12"/>
      <c r="N39" s="12"/>
      <c r="O39" s="12"/>
      <c r="P39" s="12"/>
      <c r="Q39" s="128"/>
      <c r="R39" s="220"/>
    </row>
    <row r="40" spans="2:24" x14ac:dyDescent="0.2">
      <c r="B40" s="250"/>
      <c r="C40" s="13"/>
      <c r="D40" s="154"/>
      <c r="E40" s="13"/>
      <c r="F40" s="143"/>
      <c r="G40" s="18"/>
      <c r="H40" s="12"/>
      <c r="I40" s="13"/>
      <c r="J40" s="18"/>
      <c r="K40" s="18"/>
      <c r="L40" s="12"/>
      <c r="M40" s="12"/>
      <c r="N40" s="12"/>
      <c r="O40" s="12"/>
      <c r="P40" s="12"/>
      <c r="Q40" s="128"/>
      <c r="R40" s="220"/>
    </row>
    <row r="41" spans="2:24" x14ac:dyDescent="0.2">
      <c r="B41" s="250"/>
      <c r="C41" s="15"/>
      <c r="D41" s="15" t="s">
        <v>69</v>
      </c>
      <c r="E41" s="132" t="s">
        <v>125</v>
      </c>
      <c r="F41" s="15" t="s">
        <v>31</v>
      </c>
      <c r="G41" s="15" t="s">
        <v>34</v>
      </c>
      <c r="H41" s="15" t="s">
        <v>124</v>
      </c>
      <c r="I41" s="132" t="s">
        <v>113</v>
      </c>
      <c r="J41" s="15" t="s">
        <v>35</v>
      </c>
      <c r="K41" s="15" t="s">
        <v>33</v>
      </c>
      <c r="L41" s="15" t="s">
        <v>121</v>
      </c>
      <c r="M41" s="15" t="s">
        <v>36</v>
      </c>
      <c r="N41" s="15" t="s">
        <v>105</v>
      </c>
      <c r="O41" s="15" t="s">
        <v>106</v>
      </c>
      <c r="P41" s="15" t="s">
        <v>89</v>
      </c>
      <c r="Q41" s="16" t="s">
        <v>32</v>
      </c>
      <c r="R41" s="16" t="s">
        <v>45</v>
      </c>
      <c r="S41" s="132" t="s">
        <v>36</v>
      </c>
      <c r="T41" s="132" t="s">
        <v>127</v>
      </c>
    </row>
    <row r="42" spans="2:24" x14ac:dyDescent="0.2">
      <c r="B42" s="250"/>
      <c r="C42" s="26"/>
      <c r="D42" s="158">
        <f>COUNTA(E39:E40)</f>
        <v>0</v>
      </c>
      <c r="E42" s="127">
        <f>H42+N42</f>
        <v>0</v>
      </c>
      <c r="F42" s="148">
        <f>SUM(F39:F40)</f>
        <v>0</v>
      </c>
      <c r="G42" s="55" t="e">
        <f>AVERAGE(G39:G40)</f>
        <v>#DIV/0!</v>
      </c>
      <c r="H42" s="56">
        <f>SUM(H39:H40)</f>
        <v>0</v>
      </c>
      <c r="I42" s="127">
        <f>L42-(O42+P42)</f>
        <v>0</v>
      </c>
      <c r="J42" s="55" t="e">
        <f>AVERAGE(J39:J40)</f>
        <v>#DIV/0!</v>
      </c>
      <c r="K42" s="56">
        <f t="shared" ref="K42:Q42" si="12">SUM(K39:K40)</f>
        <v>0</v>
      </c>
      <c r="L42" s="56">
        <f t="shared" si="12"/>
        <v>0</v>
      </c>
      <c r="M42" s="56">
        <f t="shared" si="12"/>
        <v>0</v>
      </c>
      <c r="N42" s="56">
        <f t="shared" si="12"/>
        <v>0</v>
      </c>
      <c r="O42" s="56">
        <f t="shared" si="12"/>
        <v>0</v>
      </c>
      <c r="P42" s="56">
        <f t="shared" si="12"/>
        <v>0</v>
      </c>
      <c r="Q42" s="56">
        <f t="shared" si="12"/>
        <v>0</v>
      </c>
      <c r="R42" s="130" t="e">
        <f>Q42/H42</f>
        <v>#DIV/0!</v>
      </c>
      <c r="S42" s="127">
        <f>SUM(P39:Q40)</f>
        <v>0</v>
      </c>
      <c r="T42" s="127">
        <f>I42-E42</f>
        <v>0</v>
      </c>
    </row>
    <row r="43" spans="2:24" x14ac:dyDescent="0.2">
      <c r="B43" s="227"/>
      <c r="C43" s="113"/>
      <c r="D43" s="113"/>
      <c r="E43" s="228"/>
      <c r="F43" s="229"/>
      <c r="G43" s="227"/>
      <c r="H43" s="230"/>
      <c r="I43" s="230"/>
      <c r="J43" s="228"/>
      <c r="K43" s="228"/>
      <c r="L43" s="228"/>
      <c r="M43" s="228"/>
      <c r="N43" s="228"/>
      <c r="O43" s="231"/>
      <c r="P43" s="228"/>
      <c r="Q43" s="231"/>
      <c r="R43" s="231"/>
      <c r="S43" s="231"/>
      <c r="T43" s="231"/>
    </row>
    <row r="44" spans="2:24" x14ac:dyDescent="0.2">
      <c r="B44" s="232"/>
      <c r="C44" s="216"/>
      <c r="E44" s="219"/>
      <c r="F44" s="233"/>
      <c r="G44" s="232"/>
      <c r="H44" s="234"/>
      <c r="J44" s="219"/>
      <c r="M44" s="216"/>
    </row>
    <row r="45" spans="2:24" x14ac:dyDescent="0.2">
      <c r="B45" s="232"/>
      <c r="C45" s="216"/>
      <c r="E45" s="219"/>
      <c r="F45" s="233"/>
      <c r="G45" s="232"/>
      <c r="H45" s="234"/>
      <c r="J45" s="219"/>
      <c r="M45" s="216"/>
    </row>
    <row r="46" spans="2:24" x14ac:dyDescent="0.2">
      <c r="B46" s="232"/>
      <c r="C46" s="216"/>
      <c r="E46" s="219"/>
      <c r="F46" s="233"/>
      <c r="G46" s="232"/>
      <c r="H46" s="234"/>
      <c r="J46" s="219"/>
      <c r="M46" s="216"/>
    </row>
    <row r="47" spans="2:24" x14ac:dyDescent="0.2">
      <c r="B47" s="232"/>
      <c r="C47" s="216"/>
      <c r="E47" s="219"/>
      <c r="F47" s="233"/>
      <c r="G47" s="232"/>
      <c r="H47" s="234"/>
      <c r="J47" s="219"/>
      <c r="M47" s="216"/>
    </row>
    <row r="48" spans="2:24" x14ac:dyDescent="0.2">
      <c r="B48" s="232"/>
      <c r="C48" s="216"/>
      <c r="E48" s="219"/>
      <c r="F48" s="233"/>
      <c r="G48" s="232"/>
      <c r="H48" s="234"/>
      <c r="J48" s="219"/>
      <c r="M48" s="216"/>
    </row>
    <row r="49" spans="2:13" x14ac:dyDescent="0.2">
      <c r="B49" s="232"/>
      <c r="C49" s="216"/>
      <c r="E49" s="219"/>
      <c r="F49" s="233"/>
      <c r="G49" s="232"/>
      <c r="H49" s="234"/>
      <c r="J49" s="219"/>
      <c r="M49" s="216"/>
    </row>
    <row r="50" spans="2:13" x14ac:dyDescent="0.2">
      <c r="B50" s="232"/>
      <c r="C50" s="216"/>
      <c r="E50" s="219"/>
      <c r="F50" s="233"/>
      <c r="G50" s="232"/>
      <c r="H50" s="234"/>
      <c r="J50" s="219"/>
      <c r="M50" s="216"/>
    </row>
    <row r="51" spans="2:13" x14ac:dyDescent="0.2">
      <c r="B51" s="232"/>
      <c r="C51" s="216"/>
      <c r="E51" s="219"/>
      <c r="F51" s="233"/>
      <c r="G51" s="232"/>
      <c r="H51" s="234"/>
      <c r="J51" s="219"/>
      <c r="M51" s="216"/>
    </row>
    <row r="52" spans="2:13" x14ac:dyDescent="0.2">
      <c r="B52" s="232"/>
      <c r="C52" s="216"/>
      <c r="E52" s="219"/>
      <c r="F52" s="233"/>
      <c r="G52" s="232"/>
      <c r="H52" s="234"/>
      <c r="J52" s="219"/>
      <c r="M52" s="216"/>
    </row>
    <row r="53" spans="2:13" x14ac:dyDescent="0.2">
      <c r="B53" s="232"/>
      <c r="C53" s="216"/>
      <c r="E53" s="219"/>
      <c r="F53" s="233"/>
      <c r="G53" s="232"/>
      <c r="H53" s="234"/>
      <c r="J53" s="219"/>
      <c r="M53" s="216"/>
    </row>
    <row r="54" spans="2:13" x14ac:dyDescent="0.2">
      <c r="B54" s="232"/>
      <c r="C54" s="216"/>
      <c r="E54" s="219"/>
      <c r="F54" s="233"/>
      <c r="G54" s="232"/>
      <c r="H54" s="234"/>
      <c r="J54" s="219"/>
      <c r="M54" s="216"/>
    </row>
    <row r="55" spans="2:13" x14ac:dyDescent="0.2">
      <c r="B55" s="232"/>
      <c r="C55" s="216"/>
      <c r="E55" s="219"/>
      <c r="F55" s="233"/>
      <c r="G55" s="232"/>
      <c r="H55" s="234"/>
      <c r="J55" s="219"/>
      <c r="M55" s="216"/>
    </row>
    <row r="56" spans="2:13" x14ac:dyDescent="0.2">
      <c r="B56" s="232"/>
      <c r="C56" s="216"/>
      <c r="E56" s="219"/>
      <c r="F56" s="233"/>
      <c r="G56" s="232"/>
      <c r="H56" s="234"/>
      <c r="J56" s="219"/>
      <c r="M56" s="216"/>
    </row>
    <row r="57" spans="2:13" x14ac:dyDescent="0.2">
      <c r="B57" s="232"/>
      <c r="C57" s="216"/>
      <c r="E57" s="219"/>
      <c r="F57" s="233"/>
      <c r="G57" s="232"/>
      <c r="H57" s="234"/>
      <c r="J57" s="219"/>
      <c r="M57" s="216"/>
    </row>
    <row r="58" spans="2:13" x14ac:dyDescent="0.2">
      <c r="B58" s="232"/>
      <c r="C58" s="216"/>
      <c r="E58" s="219"/>
      <c r="F58" s="233"/>
      <c r="G58" s="232"/>
      <c r="H58" s="234"/>
      <c r="J58" s="219"/>
      <c r="M58" s="216"/>
    </row>
    <row r="59" spans="2:13" x14ac:dyDescent="0.2">
      <c r="B59" s="232"/>
      <c r="C59" s="216"/>
      <c r="E59" s="219"/>
      <c r="F59" s="233"/>
      <c r="G59" s="232"/>
      <c r="H59" s="234"/>
      <c r="J59" s="219"/>
      <c r="M59" s="216"/>
    </row>
    <row r="60" spans="2:13" x14ac:dyDescent="0.2">
      <c r="B60" s="232"/>
      <c r="C60" s="216"/>
      <c r="E60" s="219"/>
      <c r="F60" s="233"/>
      <c r="G60" s="232"/>
      <c r="H60" s="234"/>
      <c r="J60" s="219"/>
      <c r="M60" s="216"/>
    </row>
    <row r="61" spans="2:13" x14ac:dyDescent="0.2">
      <c r="B61" s="232"/>
      <c r="C61" s="216"/>
      <c r="E61" s="219"/>
      <c r="F61" s="233"/>
      <c r="G61" s="232"/>
      <c r="H61" s="234"/>
      <c r="J61" s="219"/>
      <c r="M61" s="216"/>
    </row>
    <row r="62" spans="2:13" x14ac:dyDescent="0.2">
      <c r="B62" s="232"/>
      <c r="C62" s="216"/>
      <c r="E62" s="219"/>
      <c r="F62" s="233"/>
      <c r="G62" s="232"/>
      <c r="H62" s="234"/>
      <c r="J62" s="219"/>
      <c r="M62" s="216"/>
    </row>
    <row r="63" spans="2:13" x14ac:dyDescent="0.2">
      <c r="B63" s="232"/>
      <c r="C63" s="216"/>
      <c r="E63" s="219"/>
      <c r="F63" s="233"/>
      <c r="G63" s="232"/>
      <c r="H63" s="234"/>
      <c r="J63" s="219"/>
      <c r="M63" s="216"/>
    </row>
    <row r="64" spans="2:13" x14ac:dyDescent="0.2">
      <c r="B64" s="232"/>
      <c r="C64" s="216"/>
      <c r="E64" s="219"/>
      <c r="F64" s="233"/>
      <c r="G64" s="232"/>
      <c r="H64" s="234"/>
      <c r="J64" s="219"/>
      <c r="M64" s="216"/>
    </row>
    <row r="65" spans="2:13" x14ac:dyDescent="0.2">
      <c r="B65" s="232"/>
      <c r="C65" s="216"/>
      <c r="E65" s="219"/>
      <c r="F65" s="233"/>
      <c r="G65" s="232"/>
      <c r="H65" s="234"/>
      <c r="J65" s="219"/>
      <c r="M65" s="216"/>
    </row>
    <row r="66" spans="2:13" x14ac:dyDescent="0.2">
      <c r="B66" s="232"/>
      <c r="C66" s="216"/>
      <c r="E66" s="219"/>
      <c r="F66" s="233"/>
      <c r="G66" s="232"/>
      <c r="H66" s="234"/>
      <c r="J66" s="219"/>
      <c r="M66" s="216"/>
    </row>
    <row r="67" spans="2:13" x14ac:dyDescent="0.2">
      <c r="B67" s="232"/>
      <c r="C67" s="216"/>
      <c r="E67" s="219"/>
      <c r="F67" s="233"/>
      <c r="G67" s="232"/>
      <c r="H67" s="234"/>
      <c r="J67" s="219"/>
      <c r="M67" s="216"/>
    </row>
    <row r="68" spans="2:13" x14ac:dyDescent="0.2">
      <c r="B68" s="232"/>
      <c r="C68" s="216"/>
      <c r="E68" s="219"/>
      <c r="F68" s="233"/>
      <c r="G68" s="232"/>
      <c r="H68" s="234"/>
      <c r="J68" s="219"/>
      <c r="M68" s="216"/>
    </row>
    <row r="69" spans="2:13" x14ac:dyDescent="0.2">
      <c r="B69" s="232"/>
      <c r="C69" s="216"/>
      <c r="E69" s="219"/>
      <c r="F69" s="233"/>
      <c r="G69" s="232"/>
      <c r="H69" s="234"/>
      <c r="J69" s="219"/>
      <c r="M69" s="216"/>
    </row>
    <row r="70" spans="2:13" x14ac:dyDescent="0.2">
      <c r="B70" s="232"/>
      <c r="C70" s="216"/>
      <c r="E70" s="219"/>
      <c r="F70" s="233"/>
      <c r="G70" s="232"/>
      <c r="H70" s="234"/>
      <c r="J70" s="219"/>
      <c r="M70" s="216"/>
    </row>
    <row r="71" spans="2:13" x14ac:dyDescent="0.2">
      <c r="B71" s="232"/>
      <c r="C71" s="216"/>
      <c r="E71" s="219"/>
      <c r="F71" s="233"/>
      <c r="G71" s="232"/>
      <c r="H71" s="234"/>
      <c r="J71" s="219"/>
      <c r="M71" s="216"/>
    </row>
    <row r="72" spans="2:13" x14ac:dyDescent="0.2">
      <c r="B72" s="232"/>
      <c r="C72" s="216"/>
      <c r="E72" s="219"/>
      <c r="F72" s="233"/>
      <c r="G72" s="232"/>
      <c r="H72" s="234"/>
      <c r="J72" s="219"/>
      <c r="M72" s="216"/>
    </row>
    <row r="73" spans="2:13" x14ac:dyDescent="0.2">
      <c r="B73" s="232"/>
      <c r="C73" s="216"/>
      <c r="E73" s="219"/>
      <c r="F73" s="233"/>
      <c r="G73" s="232"/>
      <c r="H73" s="234"/>
      <c r="J73" s="219"/>
      <c r="M73" s="216"/>
    </row>
  </sheetData>
  <mergeCells count="9">
    <mergeCell ref="H2:I2"/>
    <mergeCell ref="B21:B27"/>
    <mergeCell ref="B29:B32"/>
    <mergeCell ref="B34:B37"/>
    <mergeCell ref="B39:B42"/>
    <mergeCell ref="R4:V4"/>
    <mergeCell ref="M4:Q4"/>
    <mergeCell ref="C4:G4"/>
    <mergeCell ref="H4:L4"/>
  </mergeCells>
  <phoneticPr fontId="17" type="noConversion"/>
  <conditionalFormatting sqref="C22">
    <cfRule type="expression" dxfId="95" priority="4">
      <formula>$T22="Abierta"</formula>
    </cfRule>
    <cfRule type="expression" dxfId="94" priority="5">
      <formula>$T22="Programada"</formula>
    </cfRule>
    <cfRule type="expression" dxfId="93" priority="6">
      <formula>$T22="Cerrada"</formula>
    </cfRule>
  </conditionalFormatting>
  <conditionalFormatting sqref="C34:P35 R34:T35">
    <cfRule type="expression" dxfId="92" priority="91">
      <formula>$T34="Cerrada"</formula>
    </cfRule>
    <cfRule type="expression" dxfId="91" priority="90">
      <formula>$T34="Programada"</formula>
    </cfRule>
    <cfRule type="expression" dxfId="90" priority="89">
      <formula>$T34="Abierta"</formula>
    </cfRule>
  </conditionalFormatting>
  <conditionalFormatting sqref="C39:P40 R39:T40">
    <cfRule type="expression" dxfId="89" priority="70">
      <formula>$T39="Abierta"</formula>
    </cfRule>
    <cfRule type="expression" dxfId="88" priority="71">
      <formula>$T39="Programada"</formula>
    </cfRule>
    <cfRule type="expression" dxfId="87" priority="72">
      <formula>$T39="Cerrada"</formula>
    </cfRule>
  </conditionalFormatting>
  <conditionalFormatting sqref="C21:T21 C29:T29">
    <cfRule type="expression" dxfId="86" priority="119">
      <formula>$T21="Cerrada"</formula>
    </cfRule>
    <cfRule type="expression" dxfId="85" priority="118">
      <formula>$T21="Programada"</formula>
    </cfRule>
    <cfRule type="expression" dxfId="84" priority="117">
      <formula>$T21="Abierta"</formula>
    </cfRule>
  </conditionalFormatting>
  <conditionalFormatting sqref="C23:T23">
    <cfRule type="expression" dxfId="83" priority="21">
      <formula>$T23="Cerrada"</formula>
    </cfRule>
    <cfRule type="expression" dxfId="82" priority="19">
      <formula>$T23="Abierta"</formula>
    </cfRule>
    <cfRule type="expression" dxfId="81" priority="20">
      <formula>$T23="Programada"</formula>
    </cfRule>
  </conditionalFormatting>
  <conditionalFormatting sqref="C24:T24">
    <cfRule type="expression" dxfId="80" priority="26">
      <formula>$T24="Abierta"</formula>
    </cfRule>
    <cfRule type="expression" dxfId="79" priority="27">
      <formula>$T24="Programada"</formula>
    </cfRule>
    <cfRule type="expression" dxfId="78" priority="28">
      <formula>$T24="Cerrada"</formula>
    </cfRule>
  </conditionalFormatting>
  <conditionalFormatting sqref="C25:T25">
    <cfRule type="expression" dxfId="77" priority="33">
      <formula>$T25="Abierta"</formula>
    </cfRule>
    <cfRule type="expression" dxfId="76" priority="34">
      <formula>$T25="Programada"</formula>
    </cfRule>
    <cfRule type="expression" dxfId="75" priority="35">
      <formula>$T25="Cerrada"</formula>
    </cfRule>
  </conditionalFormatting>
  <conditionalFormatting sqref="C30:T30">
    <cfRule type="expression" dxfId="74" priority="169">
      <formula>$T30="Cerrada"</formula>
    </cfRule>
    <cfRule type="expression" dxfId="73" priority="168">
      <formula>$T30="Programada"</formula>
    </cfRule>
    <cfRule type="expression" dxfId="72" priority="167">
      <formula>$T30="Abierta"</formula>
    </cfRule>
  </conditionalFormatting>
  <conditionalFormatting sqref="C6:V17">
    <cfRule type="cellIs" dxfId="71" priority="194" operator="equal">
      <formula>0</formula>
    </cfRule>
  </conditionalFormatting>
  <conditionalFormatting sqref="D22:R22">
    <cfRule type="expression" dxfId="70" priority="11">
      <formula>$T22="Abierta"</formula>
    </cfRule>
    <cfRule type="expression" dxfId="69" priority="13">
      <formula>$T22="Programada"</formula>
    </cfRule>
    <cfRule type="expression" dxfId="68" priority="14">
      <formula>$T22="Cerrada"</formula>
    </cfRule>
  </conditionalFormatting>
  <conditionalFormatting sqref="M21">
    <cfRule type="expression" dxfId="67" priority="174">
      <formula>$T21="Cerrada"</formula>
    </cfRule>
    <cfRule type="expression" dxfId="66" priority="175">
      <formula>$T21="Abierta"</formula>
    </cfRule>
    <cfRule type="expression" dxfId="65" priority="173">
      <formula>$T21="Programada"</formula>
    </cfRule>
  </conditionalFormatting>
  <conditionalFormatting sqref="Q21 Q29:Q30">
    <cfRule type="cellIs" dxfId="64" priority="163" operator="lessThan">
      <formula>0</formula>
    </cfRule>
    <cfRule type="cellIs" dxfId="63" priority="164" operator="greaterThan">
      <formula>0</formula>
    </cfRule>
  </conditionalFormatting>
  <conditionalFormatting sqref="Q22">
    <cfRule type="cellIs" dxfId="62" priority="7" operator="lessThan">
      <formula>0</formula>
    </cfRule>
    <cfRule type="cellIs" dxfId="61" priority="8" operator="greaterThan">
      <formula>0</formula>
    </cfRule>
  </conditionalFormatting>
  <conditionalFormatting sqref="Q22:Q23">
    <cfRule type="cellIs" dxfId="60" priority="15" operator="lessThan">
      <formula>0</formula>
    </cfRule>
    <cfRule type="cellIs" dxfId="59" priority="16" operator="greaterThan">
      <formula>0</formula>
    </cfRule>
  </conditionalFormatting>
  <conditionalFormatting sqref="Q23:Q24">
    <cfRule type="cellIs" dxfId="58" priority="22" operator="lessThan">
      <formula>0</formula>
    </cfRule>
    <cfRule type="cellIs" dxfId="57" priority="23" operator="greaterThan">
      <formula>0</formula>
    </cfRule>
  </conditionalFormatting>
  <conditionalFormatting sqref="Q24:Q25">
    <cfRule type="cellIs" dxfId="56" priority="29" operator="lessThan">
      <formula>0</formula>
    </cfRule>
    <cfRule type="cellIs" dxfId="55" priority="30" operator="greaterThan">
      <formula>0</formula>
    </cfRule>
  </conditionalFormatting>
  <conditionalFormatting sqref="Q25">
    <cfRule type="cellIs" dxfId="54" priority="36" operator="lessThan">
      <formula>0</formula>
    </cfRule>
    <cfRule type="cellIs" dxfId="53" priority="37" operator="greaterThan">
      <formula>0</formula>
    </cfRule>
  </conditionalFormatting>
  <conditionalFormatting sqref="Q29:Q30">
    <cfRule type="cellIs" dxfId="52" priority="189" operator="lessThan">
      <formula>0</formula>
    </cfRule>
    <cfRule type="cellIs" dxfId="51" priority="190" operator="greaterThan">
      <formula>0</formula>
    </cfRule>
  </conditionalFormatting>
  <conditionalFormatting sqref="Q34:Q35">
    <cfRule type="expression" dxfId="50" priority="88">
      <formula>$S34="Cerrada"</formula>
    </cfRule>
    <cfRule type="cellIs" dxfId="49" priority="84" operator="lessThan">
      <formula>0</formula>
    </cfRule>
    <cfRule type="cellIs" dxfId="48" priority="85" operator="greaterThan">
      <formula>0</formula>
    </cfRule>
    <cfRule type="expression" dxfId="47" priority="86">
      <formula>$S34="Abierta"</formula>
    </cfRule>
    <cfRule type="expression" dxfId="46" priority="87">
      <formula>$S34="Programada"</formula>
    </cfRule>
  </conditionalFormatting>
  <conditionalFormatting sqref="Q39:Q40">
    <cfRule type="expression" dxfId="45" priority="74">
      <formula>$S39="Programada"</formula>
    </cfRule>
    <cfRule type="expression" dxfId="44" priority="75">
      <formula>$S39="Cerrada"</formula>
    </cfRule>
    <cfRule type="cellIs" dxfId="43" priority="69" operator="greaterThan">
      <formula>0</formula>
    </cfRule>
    <cfRule type="cellIs" dxfId="42" priority="68" operator="lessThan">
      <formula>0</formula>
    </cfRule>
    <cfRule type="expression" dxfId="41" priority="73">
      <formula>$S39="Abierta"</formula>
    </cfRule>
  </conditionalFormatting>
  <conditionalFormatting sqref="S22:T22">
    <cfRule type="expression" dxfId="40" priority="1">
      <formula>$T22="Programada"</formula>
    </cfRule>
    <cfRule type="expression" dxfId="39" priority="2">
      <formula>$T22="Cerrada"</formula>
    </cfRule>
    <cfRule type="expression" dxfId="38" priority="3">
      <formula>$T22="Abierta"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62B3-AAC8-4470-BF43-3702C18FAF77}">
  <dimension ref="B3:Q26"/>
  <sheetViews>
    <sheetView workbookViewId="0">
      <selection activeCell="I14" sqref="I14"/>
    </sheetView>
  </sheetViews>
  <sheetFormatPr baseColWidth="10" defaultColWidth="11.5703125" defaultRowHeight="12.75" x14ac:dyDescent="0.2"/>
  <cols>
    <col min="1" max="1" width="11.5703125" style="38"/>
    <col min="2" max="2" width="11.28515625" style="38" bestFit="1" customWidth="1"/>
    <col min="3" max="3" width="14.85546875" style="38" bestFit="1" customWidth="1"/>
    <col min="4" max="4" width="10.140625" style="38" bestFit="1" customWidth="1"/>
    <col min="5" max="5" width="6.85546875" style="38" bestFit="1" customWidth="1"/>
    <col min="6" max="6" width="17.7109375" style="38" bestFit="1" customWidth="1"/>
    <col min="7" max="7" width="15.7109375" style="38" bestFit="1" customWidth="1"/>
    <col min="8" max="8" width="7.140625" style="38" bestFit="1" customWidth="1"/>
    <col min="9" max="16384" width="11.5703125" style="38"/>
  </cols>
  <sheetData>
    <row r="3" spans="2:17" x14ac:dyDescent="0.2">
      <c r="B3" s="38" t="s">
        <v>25</v>
      </c>
      <c r="C3" s="38" t="s">
        <v>47</v>
      </c>
      <c r="D3" s="38" t="s">
        <v>77</v>
      </c>
      <c r="E3" s="38" t="s">
        <v>74</v>
      </c>
      <c r="F3" s="38" t="s">
        <v>78</v>
      </c>
      <c r="G3" s="38" t="s">
        <v>85</v>
      </c>
      <c r="H3" s="133" t="s">
        <v>141</v>
      </c>
      <c r="I3" s="244" t="s">
        <v>26</v>
      </c>
      <c r="J3" s="244" t="s">
        <v>28</v>
      </c>
      <c r="K3" s="244" t="s">
        <v>40</v>
      </c>
      <c r="L3" s="244" t="s">
        <v>48</v>
      </c>
      <c r="N3" s="38" t="s">
        <v>86</v>
      </c>
      <c r="P3" s="38" t="s">
        <v>87</v>
      </c>
    </row>
    <row r="4" spans="2:17" x14ac:dyDescent="0.2">
      <c r="B4" s="38" t="s">
        <v>39</v>
      </c>
      <c r="C4" s="38" t="s">
        <v>49</v>
      </c>
      <c r="D4" s="38" t="s">
        <v>26</v>
      </c>
      <c r="E4" s="38" t="s">
        <v>12</v>
      </c>
      <c r="F4" s="38" t="s">
        <v>79</v>
      </c>
      <c r="G4" s="38" t="s">
        <v>82</v>
      </c>
      <c r="H4" s="34">
        <v>2025</v>
      </c>
      <c r="I4" s="244" t="s">
        <v>175</v>
      </c>
      <c r="J4" s="244" t="s">
        <v>176</v>
      </c>
      <c r="K4" s="244" t="s">
        <v>177</v>
      </c>
      <c r="L4" s="244" t="s">
        <v>179</v>
      </c>
      <c r="N4" s="43">
        <v>0</v>
      </c>
      <c r="P4" s="43">
        <v>6000</v>
      </c>
      <c r="Q4" s="44">
        <v>0.19</v>
      </c>
    </row>
    <row r="5" spans="2:17" x14ac:dyDescent="0.2">
      <c r="B5" s="38" t="s">
        <v>38</v>
      </c>
      <c r="C5" s="38" t="s">
        <v>50</v>
      </c>
      <c r="D5" s="38" t="s">
        <v>28</v>
      </c>
      <c r="E5" s="38" t="s">
        <v>13</v>
      </c>
      <c r="F5" s="38" t="s">
        <v>80</v>
      </c>
      <c r="G5" s="38" t="s">
        <v>83</v>
      </c>
      <c r="H5" s="34">
        <v>2026</v>
      </c>
      <c r="N5" s="43">
        <v>6000.01</v>
      </c>
      <c r="O5" s="43">
        <v>50000</v>
      </c>
      <c r="P5" s="44">
        <v>0.21</v>
      </c>
    </row>
    <row r="6" spans="2:17" x14ac:dyDescent="0.2">
      <c r="B6" s="38" t="s">
        <v>37</v>
      </c>
      <c r="C6" s="38" t="s">
        <v>51</v>
      </c>
      <c r="D6" s="38" t="s">
        <v>40</v>
      </c>
      <c r="E6" s="38" t="s">
        <v>14</v>
      </c>
      <c r="F6" s="38" t="s">
        <v>81</v>
      </c>
      <c r="G6" s="38" t="s">
        <v>84</v>
      </c>
      <c r="H6" s="34">
        <v>2027</v>
      </c>
      <c r="N6" s="43">
        <v>50000.01</v>
      </c>
      <c r="O6" s="43">
        <v>200000</v>
      </c>
      <c r="P6" s="44">
        <v>0.23</v>
      </c>
    </row>
    <row r="7" spans="2:17" x14ac:dyDescent="0.2">
      <c r="C7" s="38" t="s">
        <v>52</v>
      </c>
      <c r="D7" s="38" t="s">
        <v>48</v>
      </c>
      <c r="E7" s="38" t="s">
        <v>15</v>
      </c>
      <c r="F7" s="54" t="s">
        <v>48</v>
      </c>
      <c r="N7" s="43">
        <v>200000.01</v>
      </c>
      <c r="O7" s="43">
        <v>300000</v>
      </c>
      <c r="P7" s="44">
        <v>0.27</v>
      </c>
    </row>
    <row r="8" spans="2:17" x14ac:dyDescent="0.2">
      <c r="C8" s="210" t="s">
        <v>162</v>
      </c>
      <c r="E8" s="38" t="s">
        <v>16</v>
      </c>
      <c r="N8" s="43">
        <v>300000.01</v>
      </c>
      <c r="Q8" s="44">
        <v>0.28000000000000003</v>
      </c>
    </row>
    <row r="9" spans="2:17" x14ac:dyDescent="0.2">
      <c r="C9" s="38" t="s">
        <v>59</v>
      </c>
      <c r="E9" s="38" t="s">
        <v>17</v>
      </c>
      <c r="P9" s="38" t="s">
        <v>88</v>
      </c>
    </row>
    <row r="10" spans="2:17" x14ac:dyDescent="0.2">
      <c r="C10" s="211" t="s">
        <v>163</v>
      </c>
      <c r="E10" s="38" t="s">
        <v>18</v>
      </c>
      <c r="N10" s="38" t="s">
        <v>10</v>
      </c>
      <c r="O10" s="38" t="s">
        <v>88</v>
      </c>
      <c r="Q10" s="44">
        <v>0.19</v>
      </c>
    </row>
    <row r="11" spans="2:17" x14ac:dyDescent="0.2">
      <c r="E11" s="38" t="s">
        <v>19</v>
      </c>
    </row>
    <row r="12" spans="2:17" x14ac:dyDescent="0.2">
      <c r="E12" s="38" t="s">
        <v>20</v>
      </c>
    </row>
    <row r="13" spans="2:17" x14ac:dyDescent="0.2">
      <c r="E13" s="38" t="s">
        <v>21</v>
      </c>
    </row>
    <row r="14" spans="2:17" x14ac:dyDescent="0.2">
      <c r="E14" s="38" t="s">
        <v>22</v>
      </c>
    </row>
    <row r="15" spans="2:17" x14ac:dyDescent="0.2">
      <c r="E15" s="38" t="s">
        <v>23</v>
      </c>
    </row>
    <row r="20" spans="15:17" x14ac:dyDescent="0.2">
      <c r="P20" s="38">
        <v>365000</v>
      </c>
      <c r="Q20" s="38" cm="1">
        <f t="array" ref="Q20">_xlfn.IFS(P20&lt;=6000,P20*0.19,IF(P20&gt;6000,P20&lt;=50000),P20*0.21,IF(P20&gt;50000,P20&lt;=200000),P20*0.23,IF(P20&gt;200000,P20&lt;=300000),P20*0.27,P20&gt;300000,P20*0.28)</f>
        <v>102200.00000000001</v>
      </c>
    </row>
    <row r="22" spans="15:17" x14ac:dyDescent="0.2">
      <c r="O22" s="38">
        <v>19</v>
      </c>
      <c r="P22" s="38">
        <f>(P20*19)/100</f>
        <v>69350</v>
      </c>
    </row>
    <row r="23" spans="15:17" x14ac:dyDescent="0.2">
      <c r="O23" s="38">
        <v>21</v>
      </c>
      <c r="P23" s="38">
        <f>($P20*21)/100</f>
        <v>76650</v>
      </c>
    </row>
    <row r="24" spans="15:17" x14ac:dyDescent="0.2">
      <c r="O24" s="38">
        <v>23</v>
      </c>
      <c r="P24" s="38">
        <f>($P20*23)/100</f>
        <v>83950</v>
      </c>
    </row>
    <row r="25" spans="15:17" x14ac:dyDescent="0.2">
      <c r="O25" s="38">
        <v>27</v>
      </c>
      <c r="P25" s="38">
        <f>($P20*27)/100</f>
        <v>98550</v>
      </c>
    </row>
    <row r="26" spans="15:17" x14ac:dyDescent="0.2">
      <c r="O26" s="38">
        <v>28</v>
      </c>
      <c r="P26" s="38">
        <f>($P20*28)/100</f>
        <v>102200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3D03-3BE1-4D78-8485-36EF22953EA6}">
  <dimension ref="B2:AA75"/>
  <sheetViews>
    <sheetView workbookViewId="0">
      <selection activeCell="E9" sqref="E9"/>
    </sheetView>
  </sheetViews>
  <sheetFormatPr baseColWidth="10" defaultColWidth="3.28515625" defaultRowHeight="12.75" x14ac:dyDescent="0.2"/>
  <cols>
    <col min="1" max="1" width="3.28515625" style="216"/>
    <col min="2" max="2" width="6.42578125" style="216" bestFit="1" customWidth="1"/>
    <col min="3" max="3" width="11.28515625" style="232" bestFit="1" customWidth="1"/>
    <col min="4" max="4" width="10.7109375" style="216" bestFit="1" customWidth="1"/>
    <col min="5" max="5" width="11.28515625" style="216" bestFit="1" customWidth="1"/>
    <col min="6" max="6" width="7.7109375" style="219" bestFit="1" customWidth="1"/>
    <col min="7" max="7" width="9.28515625" style="233" bestFit="1" customWidth="1"/>
    <col min="8" max="8" width="11.28515625" style="232" bestFit="1" customWidth="1"/>
    <col min="9" max="9" width="9.7109375" style="234" bestFit="1" customWidth="1"/>
    <col min="10" max="10" width="8.7109375" style="234" bestFit="1" customWidth="1"/>
    <col min="11" max="11" width="10" style="219" bestFit="1" customWidth="1"/>
    <col min="12" max="12" width="8.5703125" style="219" bestFit="1" customWidth="1"/>
    <col min="13" max="13" width="11.28515625" style="219" bestFit="1" customWidth="1"/>
    <col min="14" max="14" width="10.140625" style="216" bestFit="1" customWidth="1"/>
    <col min="15" max="15" width="11.7109375" style="216" bestFit="1" customWidth="1"/>
    <col min="16" max="16" width="7.7109375" style="216" bestFit="1" customWidth="1"/>
    <col min="17" max="17" width="7.28515625" style="216" bestFit="1" customWidth="1"/>
    <col min="18" max="18" width="11.28515625" style="216" bestFit="1" customWidth="1"/>
    <col min="19" max="19" width="9.7109375" style="216" bestFit="1" customWidth="1"/>
    <col min="20" max="20" width="8.7109375" style="216" bestFit="1" customWidth="1"/>
    <col min="21" max="21" width="7.7109375" style="216" bestFit="1" customWidth="1"/>
    <col min="22" max="22" width="3.28515625" style="216" bestFit="1" customWidth="1"/>
    <col min="23" max="23" width="6.85546875" style="216" bestFit="1" customWidth="1"/>
    <col min="24" max="24" width="8.140625" style="216" bestFit="1" customWidth="1"/>
    <col min="25" max="25" width="6.85546875" style="216" bestFit="1" customWidth="1"/>
    <col min="26" max="26" width="8.140625" style="216" bestFit="1" customWidth="1"/>
    <col min="27" max="27" width="5.85546875" style="216" bestFit="1" customWidth="1"/>
    <col min="28" max="28" width="8.140625" style="216" bestFit="1" customWidth="1"/>
    <col min="29" max="29" width="5.85546875" style="216" bestFit="1" customWidth="1"/>
    <col min="30" max="30" width="8.140625" style="216" bestFit="1" customWidth="1"/>
    <col min="31" max="31" width="7.7109375" style="216" bestFit="1" customWidth="1"/>
    <col min="32" max="32" width="7.5703125" style="216" bestFit="1" customWidth="1"/>
    <col min="33" max="16384" width="3.28515625" style="216"/>
  </cols>
  <sheetData>
    <row r="2" spans="2:22" x14ac:dyDescent="0.2">
      <c r="B2" s="80" t="s">
        <v>75</v>
      </c>
      <c r="C2" s="199" t="s">
        <v>148</v>
      </c>
      <c r="D2" s="199" t="s">
        <v>147</v>
      </c>
      <c r="E2" s="81" t="s">
        <v>146</v>
      </c>
      <c r="F2" s="82" t="s">
        <v>45</v>
      </c>
      <c r="G2" s="199" t="s">
        <v>72</v>
      </c>
      <c r="H2" s="268" t="s">
        <v>96</v>
      </c>
      <c r="I2" s="268"/>
      <c r="J2" s="199" t="s">
        <v>145</v>
      </c>
      <c r="K2" s="199" t="s">
        <v>111</v>
      </c>
      <c r="L2" s="199" t="s">
        <v>149</v>
      </c>
      <c r="M2" s="167" t="s">
        <v>144</v>
      </c>
    </row>
    <row r="3" spans="2:22" x14ac:dyDescent="0.2">
      <c r="B3" s="174">
        <v>2026</v>
      </c>
      <c r="C3" s="168">
        <f>C18+H18+M18+R18</f>
        <v>0</v>
      </c>
      <c r="D3" s="168">
        <f>D18+I18+N18+S18</f>
        <v>0</v>
      </c>
      <c r="E3" s="168">
        <f>E18+J18+O18+T18</f>
        <v>0</v>
      </c>
      <c r="F3" s="169" t="e">
        <f>E3/C3</f>
        <v>#DIV/0!</v>
      </c>
      <c r="G3" s="170">
        <f>G18+L18+Q18+V18</f>
        <v>0</v>
      </c>
      <c r="H3" s="171" cm="1">
        <f t="array" ref="H3">_xlfn.IFS(E3&lt;=6000,E3*0.19,IF(E3&gt;6000,E3&lt;=50000),E3*0.21,IF(E3&gt;50000,E3&lt;=200000),E3*0.23,IF(E3&gt;200000,E3&lt;=300000),E3*0.27,E3&gt;300000,E3*0.28)</f>
        <v>0</v>
      </c>
      <c r="I3" s="172" t="str" cm="1">
        <f t="array" ref="I3">_xlfn.IFS(G3&lt;=6000,"19%",IF(G3&gt;6000,G3&lt;=50000),"21%",IF(G3&gt;50000,G3&lt;=200000),"23%",IF(G3&gt;200000,G3&lt;=300000),"27%",G3&gt;300000,"28%")</f>
        <v>19%</v>
      </c>
      <c r="J3" s="217">
        <f>E3-H3</f>
        <v>0</v>
      </c>
      <c r="K3" s="168">
        <v>0</v>
      </c>
      <c r="L3" s="168">
        <v>16.940000000000001</v>
      </c>
      <c r="M3" s="173">
        <f>J3+K3-L3</f>
        <v>-16.940000000000001</v>
      </c>
    </row>
    <row r="4" spans="2:22" x14ac:dyDescent="0.2">
      <c r="B4" s="161">
        <v>2026</v>
      </c>
      <c r="C4" s="273" t="s">
        <v>26</v>
      </c>
      <c r="D4" s="274"/>
      <c r="E4" s="274"/>
      <c r="F4" s="274"/>
      <c r="G4" s="275"/>
      <c r="H4" s="276" t="s">
        <v>28</v>
      </c>
      <c r="I4" s="277"/>
      <c r="J4" s="277"/>
      <c r="K4" s="277"/>
      <c r="L4" s="278"/>
      <c r="M4" s="279" t="s">
        <v>40</v>
      </c>
      <c r="N4" s="280"/>
      <c r="O4" s="280"/>
      <c r="P4" s="280"/>
      <c r="Q4" s="281"/>
      <c r="R4" s="282" t="s">
        <v>48</v>
      </c>
      <c r="S4" s="283"/>
      <c r="T4" s="283"/>
      <c r="U4" s="283"/>
      <c r="V4" s="284"/>
    </row>
    <row r="5" spans="2:22" x14ac:dyDescent="0.2">
      <c r="B5" s="83" t="s">
        <v>74</v>
      </c>
      <c r="C5" s="85" t="s">
        <v>41</v>
      </c>
      <c r="D5" s="6" t="s">
        <v>71</v>
      </c>
      <c r="E5" s="4" t="s">
        <v>70</v>
      </c>
      <c r="F5" s="5" t="s">
        <v>45</v>
      </c>
      <c r="G5" s="86" t="s">
        <v>72</v>
      </c>
      <c r="H5" s="85" t="s">
        <v>41</v>
      </c>
      <c r="I5" s="6" t="s">
        <v>71</v>
      </c>
      <c r="J5" s="4" t="s">
        <v>6</v>
      </c>
      <c r="K5" s="5" t="s">
        <v>45</v>
      </c>
      <c r="L5" s="86" t="s">
        <v>72</v>
      </c>
      <c r="M5" s="85" t="s">
        <v>41</v>
      </c>
      <c r="N5" s="6" t="s">
        <v>71</v>
      </c>
      <c r="O5" s="4" t="s">
        <v>6</v>
      </c>
      <c r="P5" s="5" t="s">
        <v>45</v>
      </c>
      <c r="Q5" s="86" t="s">
        <v>72</v>
      </c>
      <c r="R5" s="85" t="s">
        <v>41</v>
      </c>
      <c r="S5" s="6" t="s">
        <v>71</v>
      </c>
      <c r="T5" s="4" t="s">
        <v>6</v>
      </c>
      <c r="U5" s="5" t="s">
        <v>45</v>
      </c>
      <c r="V5" s="86" t="s">
        <v>72</v>
      </c>
    </row>
    <row r="6" spans="2:22" x14ac:dyDescent="0.2">
      <c r="B6" s="83" t="s">
        <v>12</v>
      </c>
      <c r="C6" s="218">
        <f>SUMIF(S21:S22,"Ene",N21:N22)+SUMIF(S21:S22,"Ene",H21:H22)</f>
        <v>0</v>
      </c>
      <c r="D6" s="219">
        <f>(SUMIF(S21:S22,"Ene",L21:L22))-((SUMIF(S21:S22,"Ene",P21:P22)+SUMIF(S21:S22,"Ene",O21:O22)))</f>
        <v>0</v>
      </c>
      <c r="E6" s="219">
        <f>SUMIF(S21:S22,"Ene",Q21:Q22)</f>
        <v>0</v>
      </c>
      <c r="F6" s="220" t="e">
        <f t="shared" ref="F6" si="0">E6/C6</f>
        <v>#DIV/0!</v>
      </c>
      <c r="G6" s="221">
        <f>COUNTIF(S21:S22,"Ene")</f>
        <v>0</v>
      </c>
      <c r="H6" s="218">
        <f>SUMIF(S26:S27,"Ene",N26:N27)+SUMIF(S26:S27,"Ene",H26:H27)</f>
        <v>0</v>
      </c>
      <c r="I6" s="219">
        <f>(SUMIF(S26:S27,"Ene",L26:L27))-((SUMIF(S26:S27,"Ene",P26:P27)+SUMIF(S26:S27,"Ene",O26:O27)))</f>
        <v>0</v>
      </c>
      <c r="J6" s="219">
        <f>SUMIF(S26:S27,"Ene",Q26:Q27)</f>
        <v>0</v>
      </c>
      <c r="K6" s="220" t="e">
        <f>J6/H6</f>
        <v>#DIV/0!</v>
      </c>
      <c r="L6" s="221">
        <f>COUNTIF(S26:S27,"Ene")</f>
        <v>0</v>
      </c>
      <c r="M6" s="218">
        <f>SUMIF(S31:S32,"Ene",N31:N32)+SUMIF(S31:S32,"Ene",H31:H32)</f>
        <v>0</v>
      </c>
      <c r="N6" s="219">
        <f>(SUMIF(S31:S32,"Ene",L31:L32))-((SUMIF(S31:S32,"Ene",P31:P32)+SUMIF(S31:S32,"Ene",O31:O32)))</f>
        <v>0</v>
      </c>
      <c r="O6" s="219">
        <f>SUMIF(S31:S32,"Ene",Q31:Q32)</f>
        <v>0</v>
      </c>
      <c r="P6" s="220" t="e">
        <f t="shared" ref="P6" si="1">O6/M6</f>
        <v>#DIV/0!</v>
      </c>
      <c r="Q6" s="221">
        <f>COUNTIF(S31:S32,"Ene")</f>
        <v>0</v>
      </c>
      <c r="R6" s="218">
        <f>SUMIF(S36:S37,"Ene",N36:N37)+SUMIF(S36:S37,"Ene",H36:H37)</f>
        <v>0</v>
      </c>
      <c r="S6" s="219">
        <f>(SUMIF(S36:S37,"Ene",L36:L37))-((SUMIF(S36:S37,"Ene",P36:P37)+SUMIF(S36:S37,"Ene",O36:O37)))</f>
        <v>0</v>
      </c>
      <c r="T6" s="219">
        <f>SUMIF(S36:S37,"Ene",Q36:Q37)</f>
        <v>0</v>
      </c>
      <c r="U6" s="220" t="e">
        <f t="shared" ref="U6" si="2">T6/R6</f>
        <v>#DIV/0!</v>
      </c>
      <c r="V6" s="221">
        <f>COUNTIF(S36:S37,"Ene")</f>
        <v>0</v>
      </c>
    </row>
    <row r="7" spans="2:22" x14ac:dyDescent="0.2">
      <c r="B7" s="83" t="s">
        <v>13</v>
      </c>
      <c r="C7" s="218">
        <f>SUMIF(S21:S22,"Feb",N21:N22)+SUMIF(S21:S22,"Feb",H21:H22)</f>
        <v>0</v>
      </c>
      <c r="D7" s="219">
        <f>(SUMIF(S21:S22,"Feb",L21:L22))-((SUMIF(S21:S22,"Feb",P21:P22)+SUMIF(S21:S22,"Feb",O21:O22)))</f>
        <v>0</v>
      </c>
      <c r="E7" s="219">
        <f>SUMIF(S21:S22,"Feb",Q21:Q22)</f>
        <v>0</v>
      </c>
      <c r="F7" s="220"/>
      <c r="G7" s="221">
        <f>COUNTIF(S21:S22,"Feb")</f>
        <v>0</v>
      </c>
      <c r="H7" s="218">
        <f>SUMIF(S26:S27,"Feb",N26:N27)+SUMIF(S26:S27,"Feb",H26:H27)</f>
        <v>0</v>
      </c>
      <c r="I7" s="219">
        <f>(SUMIF(S26:S27,"Feb",L26:L27))-((SUMIF(S26:S27,"Feb",P26:P27)+SUMIF(S26:S27,"Feb",O26:O27)))</f>
        <v>0</v>
      </c>
      <c r="J7" s="219">
        <f>SUMIF(S26:S27,"Feb",Q26:Q27)</f>
        <v>0</v>
      </c>
      <c r="K7" s="220"/>
      <c r="L7" s="221">
        <f>COUNTIF(S26:S27,"Feb")</f>
        <v>0</v>
      </c>
      <c r="M7" s="218">
        <f>SUMIF(S31:S32,"Feb",N31:N32)+SUMIF(S31:S32,"Feb",H31:H32)</f>
        <v>0</v>
      </c>
      <c r="N7" s="219">
        <f>(SUMIF(S31:S32,"Feb",L31:L32))-((SUMIF(S31:S32,"Feb",P31:P32)+SUMIF(S31:S32,"Feb",O31:O32)))</f>
        <v>0</v>
      </c>
      <c r="O7" s="219">
        <f>SUMIF(S31:S32,"Feb",Q31:Q32)</f>
        <v>0</v>
      </c>
      <c r="P7" s="220"/>
      <c r="Q7" s="221">
        <f>COUNTIF(S31:S32,"Feb")</f>
        <v>0</v>
      </c>
      <c r="R7" s="218">
        <f>SUMIF(S36:S37,"Feb",N36:N37)+SUMIF(S36:S37,"Feb",H36:H37)</f>
        <v>0</v>
      </c>
      <c r="S7" s="219">
        <f>(SUMIF(S36:S37,"Feb",L36:L37))-((SUMIF(S36:S37,"Feb",P36:P37)+SUMIF(S36:S37,"Feb",O36:O37)))</f>
        <v>0</v>
      </c>
      <c r="T7" s="219">
        <f>SUMIF(S36:S37,"Feb",Q36:Q37)</f>
        <v>0</v>
      </c>
      <c r="U7" s="220"/>
      <c r="V7" s="221">
        <f>COUNTIF(S36:S37,"Feb")</f>
        <v>0</v>
      </c>
    </row>
    <row r="8" spans="2:22" x14ac:dyDescent="0.2">
      <c r="B8" s="83" t="s">
        <v>14</v>
      </c>
      <c r="C8" s="218">
        <f>SUMIF(S21:S22,"Mar",N21:N22)+SUMIF(S21:S22,"Mar",H21:H22)</f>
        <v>0</v>
      </c>
      <c r="D8" s="219">
        <f>(SUMIF(S21:S22,"Mar",L21:L22))-((SUMIF(S21:S22,"Mar",P21:P22)+SUMIF(S21:S22,"Mar",O21:O22)))</f>
        <v>0</v>
      </c>
      <c r="E8" s="219">
        <f>SUMIF(S21:S22,"Mar",Q21:Q22)</f>
        <v>0</v>
      </c>
      <c r="F8" s="220"/>
      <c r="G8" s="221">
        <f>COUNTIF(S21:S22,"Mar")</f>
        <v>0</v>
      </c>
      <c r="H8" s="218">
        <f>SUMIF(S26:S27,"Mar",N26:N27)+SUMIF(S26:S27,"Mar",H26:H27)</f>
        <v>0</v>
      </c>
      <c r="I8" s="219">
        <f>(SUMIF(S26:S27,"Mar",L26:L27))-((SUMIF(S26:S27,"Mar",P26:P27)+SUMIF(S26:S27,"Mar",O26:O27)))</f>
        <v>0</v>
      </c>
      <c r="J8" s="219">
        <f>SUMIF(S26:S27,"Mar",Q26:Q27)</f>
        <v>0</v>
      </c>
      <c r="K8" s="220"/>
      <c r="L8" s="221">
        <f>COUNTIF(S26:S27,"Mar")</f>
        <v>0</v>
      </c>
      <c r="M8" s="218">
        <f>SUMIF(S31:S32,"Mar",N31:N32)+SUMIF(S31:S32,"Mar",H31:H32)</f>
        <v>0</v>
      </c>
      <c r="N8" s="219">
        <f>(SUMIF(S31:S32,"Mar",L31:L32))-((SUMIF(S31:S32,"Mar",P31:P32)+SUMIF(S31:S32,"Mar",O31:O32)))</f>
        <v>0</v>
      </c>
      <c r="O8" s="219">
        <f>SUMIF(S31:S32,"Mar",Q31:Q32)</f>
        <v>0</v>
      </c>
      <c r="P8" s="220"/>
      <c r="Q8" s="221">
        <f>COUNTIF(S31:S32,"Mar")</f>
        <v>0</v>
      </c>
      <c r="R8" s="218">
        <f>SUMIF(S36:S37,"Mar",N36:N37)+SUMIF(S36:S37,"Mar",H36:H37)</f>
        <v>0</v>
      </c>
      <c r="S8" s="219">
        <f>(SUMIF(S36:S37,"Mar",L36:L37))-((SUMIF(S36:S37,"Mar",P36:P37)+SUMIF(S36:S37,"MAr",O36:O37)))</f>
        <v>0</v>
      </c>
      <c r="T8" s="219">
        <f>SUMIF(S36:S37,"Mar",Q36:Q37)</f>
        <v>0</v>
      </c>
      <c r="U8" s="220"/>
      <c r="V8" s="221">
        <f>COUNTIF(S36:S37,"Mar")</f>
        <v>0</v>
      </c>
    </row>
    <row r="9" spans="2:22" x14ac:dyDescent="0.2">
      <c r="B9" s="83" t="s">
        <v>15</v>
      </c>
      <c r="C9" s="218">
        <f>SUMIF(S21:S22,"Abr",N21:N22)+SUMIF(S21:S22,"Abr",H21:H22)</f>
        <v>0</v>
      </c>
      <c r="D9" s="219">
        <f>(SUMIF(S21:S22,"Abr",L21:L22))-((SUMIF(S21:S22,"Abr",P21:P22)+SUMIF(S21:S22,"Abr",O21:O22)))</f>
        <v>0</v>
      </c>
      <c r="E9" s="219">
        <f>SUMIF(S21:S22,"Abr",Q21:Q22)</f>
        <v>0</v>
      </c>
      <c r="F9" s="220"/>
      <c r="G9" s="221">
        <f>COUNTIF(S21:S22,"Abr")</f>
        <v>0</v>
      </c>
      <c r="H9" s="218">
        <f>SUMIF(S26:S27,"Abr",N26:N27)+SUMIF(S26:S27,"Abr",H26:H27)</f>
        <v>0</v>
      </c>
      <c r="I9" s="219">
        <f>(SUMIF(S26:S27,"Abr",L26:L27))-((SUMIF(S26:S27,"Abr",P26:P27)+SUMIF(S26:S27,"Abr",O26:O27)))</f>
        <v>0</v>
      </c>
      <c r="J9" s="219">
        <f>SUMIF(S26:S27,"Abr",Q26:Q27)</f>
        <v>0</v>
      </c>
      <c r="K9" s="220"/>
      <c r="L9" s="221">
        <f>COUNTIF(S26:S27,"Abr")</f>
        <v>0</v>
      </c>
      <c r="M9" s="218">
        <f>SUMIF(S31:S32,"Abr",N31:N32)+SUMIF(S31:S32,"Abr",H31:H32)</f>
        <v>0</v>
      </c>
      <c r="N9" s="219">
        <f>(SUMIF(S31:S32,"Abr",L31:L32))-((SUMIF(S31:S32,"Abr",P31:P32)+SUMIF(S31:S32,"Abr",O31:O32)))</f>
        <v>0</v>
      </c>
      <c r="O9" s="219">
        <f>SUMIF(S31:S32,"Abr",Q31:Q32)</f>
        <v>0</v>
      </c>
      <c r="P9" s="220"/>
      <c r="Q9" s="221">
        <f>COUNTIF(S31:S32,"Abr")</f>
        <v>0</v>
      </c>
      <c r="R9" s="218">
        <f>SUMIF(S36:S37,"Abr",N36:N37)+SUMIF(S36:S37,"Abr",H36:H37)</f>
        <v>0</v>
      </c>
      <c r="S9" s="219">
        <f>(SUMIF(S36:S37,"Abr",L36:L37))-((SUMIF(S36:S37,"Abr",P36:P37)+SUMIF(S36:S37,"Abr",O36:O37)))</f>
        <v>0</v>
      </c>
      <c r="T9" s="219">
        <f>SUMIF(S36:S37,"Abr",Q36:Q37)</f>
        <v>0</v>
      </c>
      <c r="U9" s="220"/>
      <c r="V9" s="221">
        <f>COUNTIF(S36:S37,"Abr")</f>
        <v>0</v>
      </c>
    </row>
    <row r="10" spans="2:22" x14ac:dyDescent="0.2">
      <c r="B10" s="83" t="s">
        <v>16</v>
      </c>
      <c r="C10" s="218">
        <f>SUMIF(S21:S22,"May",N21:N22)+SUMIF(S21:S22,"May",H21:H22)</f>
        <v>0</v>
      </c>
      <c r="D10" s="219">
        <f>(SUMIF(S21:S22,"May",L21:L22))-((SUMIF(S21:S22,"May",P21:P22)+SUMIF(S21:S22,"May",O21:O22)))</f>
        <v>0</v>
      </c>
      <c r="E10" s="219">
        <f>SUMIF(S21:S22,"May",Q21:Q22)</f>
        <v>0</v>
      </c>
      <c r="F10" s="220"/>
      <c r="G10" s="221">
        <f>COUNTIF(S21:S22,"May")</f>
        <v>0</v>
      </c>
      <c r="H10" s="218">
        <f>SUMIF(S26:S27,"May",N26:N27)+SUMIF(S26:S27,"May",H26:H27)</f>
        <v>0</v>
      </c>
      <c r="I10" s="219">
        <f>(SUMIF(S26:S27,"May",L26:L27))-((SUMIF(S26:S27,"My",P26:P27)+SUMIF(S26:S27,"May",O26:O27)))</f>
        <v>0</v>
      </c>
      <c r="J10" s="219">
        <f>SUMIF(S26:S27,"May",Q26:Q27)</f>
        <v>0</v>
      </c>
      <c r="K10" s="220"/>
      <c r="L10" s="221">
        <f>COUNTIF(S26:S27,"May")</f>
        <v>0</v>
      </c>
      <c r="M10" s="218">
        <f>SUMIF(S31:S32,"May",N31:N32)+SUMIF(S31:S32,"May",H31:H32)</f>
        <v>0</v>
      </c>
      <c r="N10" s="219">
        <f>(SUMIF(S31:S32,"May",L31:L32))-((SUMIF(S31:S32,"May",P31:P32)+SUMIF(S31:S32,"May",O31:O32)))</f>
        <v>0</v>
      </c>
      <c r="O10" s="219">
        <f>SUMIF(S31:S32,"May",Q31:Q32)</f>
        <v>0</v>
      </c>
      <c r="P10" s="220"/>
      <c r="Q10" s="221">
        <f>COUNTIF(S31:S32,"May")</f>
        <v>0</v>
      </c>
      <c r="R10" s="218">
        <f>SUMIF(S36:S37,"May",N36:N37)+SUMIF(S36:S37,"May",H36:H37)</f>
        <v>0</v>
      </c>
      <c r="S10" s="219">
        <f>(SUMIF(S36:S37,"May",L36:L37))-((SUMIF(S36:S37,"May",P36:P37)+SUMIF(S36:S37,"May",O36:O37)))</f>
        <v>0</v>
      </c>
      <c r="T10" s="219">
        <f>SUMIF(S36:S37,"May",Q36:Q37)</f>
        <v>0</v>
      </c>
      <c r="U10" s="220"/>
      <c r="V10" s="221">
        <f>COUNTIF(S36:S37,"May")</f>
        <v>0</v>
      </c>
    </row>
    <row r="11" spans="2:22" x14ac:dyDescent="0.2">
      <c r="B11" s="83" t="s">
        <v>17</v>
      </c>
      <c r="C11" s="218">
        <f>SUMIF(S21:S22,"Jun",N21:N22)+SUMIF(S21:S22,"Jun",H21:H22)</f>
        <v>0</v>
      </c>
      <c r="D11" s="219">
        <f>(SUMIF(S21:S22,"Jun",L21:L22))-((SUMIF(S21:S22,"Jun",P21:P22)+SUMIF(S21:S22,"Jun",O21:O22)))</f>
        <v>0</v>
      </c>
      <c r="E11" s="219">
        <f>SUMIF(S21:S22,"Jun",Q21:Q22)</f>
        <v>0</v>
      </c>
      <c r="F11" s="220"/>
      <c r="G11" s="221">
        <f>COUNTIF(S21:S22,"Jun")</f>
        <v>0</v>
      </c>
      <c r="H11" s="218">
        <f>SUMIF(S26:S27,"Jun",N26:N27)+SUMIF(S26:S27,"Jun",H26:H27)</f>
        <v>0</v>
      </c>
      <c r="I11" s="219">
        <f>(SUMIF(S26:S27,"Jun",L26:L27))-((SUMIF(S26:S27,"Jun",P26:P27)+SUMIF(S26:S27,"Jun",O26:O27)))</f>
        <v>0</v>
      </c>
      <c r="J11" s="219">
        <f>SUMIF(S26:S27,"Jun",Q26:Q27)</f>
        <v>0</v>
      </c>
      <c r="K11" s="220"/>
      <c r="L11" s="221">
        <f>COUNTIF(S26:S27,"Jun")</f>
        <v>0</v>
      </c>
      <c r="M11" s="218">
        <f>SUMIF(S31:S32,"Jun",N31:N32)+SUMIF(S31:S32,"Jun",H31:H32)</f>
        <v>0</v>
      </c>
      <c r="N11" s="219">
        <f>(SUMIF(S31:S32,"Jun",L31:L32))-((SUMIF(S31:S32,"Jun",P31:P32)+SUMIF(S31:S32,"Jun",O31:O32)))</f>
        <v>0</v>
      </c>
      <c r="O11" s="219">
        <f>SUMIF(S31:S32,"Jun",Q31:Q32)</f>
        <v>0</v>
      </c>
      <c r="P11" s="220"/>
      <c r="Q11" s="221">
        <f>COUNTIF(S31:S32,"Jun")</f>
        <v>0</v>
      </c>
      <c r="R11" s="218">
        <f>SUMIF(S36:S37,"Jun",N36:N37)+SUMIF(S36:S37,"Jun",H36:H37)</f>
        <v>0</v>
      </c>
      <c r="S11" s="219">
        <f>(SUMIF(S36:S37,"Jun",L36:L37))-((SUMIF(S36:S37,"Jun",P36:P37)+SUMIF(S36:S37,"Jun",O36:O37)))</f>
        <v>0</v>
      </c>
      <c r="T11" s="219">
        <f>SUMIF(S36:S37,"Jun",Q36:Q37)</f>
        <v>0</v>
      </c>
      <c r="U11" s="220"/>
      <c r="V11" s="221">
        <f>COUNTIF(S36:S37,"Jun")</f>
        <v>0</v>
      </c>
    </row>
    <row r="12" spans="2:22" x14ac:dyDescent="0.2">
      <c r="B12" s="83" t="s">
        <v>18</v>
      </c>
      <c r="C12" s="218">
        <f>SUMIF(S21:S22,"Jul",N21:N22)+SUMIF(S21:S22,"Jul",H21:H22)</f>
        <v>0</v>
      </c>
      <c r="D12" s="219">
        <f>(SUMIF(S21:S22,"Jul",L21:L22))-((SUMIF(S21:S22,"Jul",P21:P22)+SUMIF(S21:S22,"Jul",O21:O22)))</f>
        <v>0</v>
      </c>
      <c r="E12" s="219">
        <f>SUMIF(S21:S22,"Jul",Q21:Q22)</f>
        <v>0</v>
      </c>
      <c r="F12" s="220"/>
      <c r="G12" s="221">
        <f>COUNTIF(S21:S22,"Jul")</f>
        <v>0</v>
      </c>
      <c r="H12" s="218">
        <f>SUMIF(S26:S27,"Jul",N26:N27)+SUMIF(S26:S27,"Jul",H26:H27)</f>
        <v>0</v>
      </c>
      <c r="I12" s="219">
        <f>(SUMIF(S26:S27,"Jul",L26:L27))-((SUMIF(S26:S27,"Jul",P26:P27)+SUMIF(S26:S27,"Jul",O26:O27)))</f>
        <v>0</v>
      </c>
      <c r="J12" s="219">
        <f>SUMIF(S26:S27,"Jul",Q26:Q27)</f>
        <v>0</v>
      </c>
      <c r="K12" s="220"/>
      <c r="L12" s="221">
        <f>COUNTIF(S26:S27,"Jul")</f>
        <v>0</v>
      </c>
      <c r="M12" s="218">
        <f>SUMIF(S31:S32,"Jul",N31:N32)+SUMIF(S31:S32,"Jul",H31:H32)</f>
        <v>0</v>
      </c>
      <c r="N12" s="219">
        <f>(SUMIF(S31:S32,"Jul",L31:L32))-((SUMIF(S31:S32,"Jul",P31:P32)+SUMIF(S31:S32,"Jul",O31:O32)))</f>
        <v>0</v>
      </c>
      <c r="O12" s="219">
        <f>SUMIF(S31:S32,"Jul",Q31:Q32)</f>
        <v>0</v>
      </c>
      <c r="P12" s="220"/>
      <c r="Q12" s="221">
        <f>COUNTIF(S31:S32,"Jul")</f>
        <v>0</v>
      </c>
      <c r="R12" s="218">
        <f>SUMIF(S36:S37,"Jul",N36:N37)+SUMIF(S36:S37,"Jul",H36:H37)</f>
        <v>0</v>
      </c>
      <c r="S12" s="219">
        <f>(SUMIF(S36:S37,"Jul",L36:L37))-((SUMIF(S36:S37,"Jul",P36:P37)+SUMIF(S36:S37,"Jul",O36:O37)))</f>
        <v>0</v>
      </c>
      <c r="T12" s="219">
        <f>SUMIF(S36:S37,"Jul",Q36:Q37)</f>
        <v>0</v>
      </c>
      <c r="U12" s="220"/>
      <c r="V12" s="221">
        <f>COUNTIF(S36:S37,"Jul")</f>
        <v>0</v>
      </c>
    </row>
    <row r="13" spans="2:22" x14ac:dyDescent="0.2">
      <c r="B13" s="83" t="s">
        <v>19</v>
      </c>
      <c r="C13" s="218">
        <f>SUMIF(S21:S22,"Ago",N21:N22)+SUMIF(S21:S22,"Ago",H21:H22)</f>
        <v>0</v>
      </c>
      <c r="D13" s="219">
        <f>(SUMIF(S21:S22,"Ago",L21:L22))-((SUMIF(S21:S22,"Ago",P21:P22)+SUMIF(S21:S22,"Ago",O21:O22)))</f>
        <v>0</v>
      </c>
      <c r="E13" s="219">
        <f>SUMIF(S21:S22,"Ago",Q21:Q22)</f>
        <v>0</v>
      </c>
      <c r="F13" s="220"/>
      <c r="G13" s="221">
        <f>COUNTIF(S21:S22,"Ago")</f>
        <v>0</v>
      </c>
      <c r="H13" s="218">
        <f>SUMIF(S26:S27,"Ago",N26:N27)+SUMIF(S26:S27,"Ago",H26:H27)</f>
        <v>0</v>
      </c>
      <c r="I13" s="219">
        <f>(SUMIF(S26:S27,"Ago",L26:L27))-((SUMIF(S26:S27,"Ago",P26:P27)+SUMIF(S26:S27,"Ago",O26:O27)))</f>
        <v>0</v>
      </c>
      <c r="J13" s="219">
        <f>SUMIF(S26:S27,"Ago",Q26:Q27)</f>
        <v>0</v>
      </c>
      <c r="K13" s="220"/>
      <c r="L13" s="221">
        <f>COUNTIF(S26:S27,"Ago")</f>
        <v>0</v>
      </c>
      <c r="M13" s="218">
        <f>SUMIF(S31:S32,"Ago",N31:N32)+SUMIF(S31:S32,"Ago",H31:H32)</f>
        <v>0</v>
      </c>
      <c r="N13" s="219">
        <f>(SUMIF(S31:S32,"Ago",L31:L32))-((SUMIF(S31:S32,"Ago",P31:P32)+SUMIF(S31:S32,"Ago",O31:O32)))</f>
        <v>0</v>
      </c>
      <c r="O13" s="219">
        <f>SUMIF(S31:S32,"Jul",Q31:Q32)</f>
        <v>0</v>
      </c>
      <c r="P13" s="220"/>
      <c r="Q13" s="221">
        <f>COUNTIF(S31:S32,"Ago")</f>
        <v>0</v>
      </c>
      <c r="R13" s="218">
        <f>SUMIF(S36:S37,"Ago",N36:N37)+SUMIF(S36:S37,"Ago",H36:H37)</f>
        <v>0</v>
      </c>
      <c r="S13" s="219">
        <f>(SUMIF(S36:S37,"Ago",L36:L37))-((SUMIF(S36:S37,"Ago",P36:P37)+SUMIF(S36:S37,"Ago",O36:O37)))</f>
        <v>0</v>
      </c>
      <c r="T13" s="219">
        <f>SUMIF(S36:S37,"Ago",Q36:Q37)</f>
        <v>0</v>
      </c>
      <c r="U13" s="220"/>
      <c r="V13" s="221">
        <f>COUNTIF(S36:S37,"Ago")</f>
        <v>0</v>
      </c>
    </row>
    <row r="14" spans="2:22" x14ac:dyDescent="0.2">
      <c r="B14" s="83" t="s">
        <v>20</v>
      </c>
      <c r="C14" s="218">
        <f>SUMIF(S21:S22,"Sep",N21:N22)+SUMIF(S21:S22,"Sep",H21:H22)</f>
        <v>0</v>
      </c>
      <c r="D14" s="219">
        <f>(SUMIF(S21:S22,"Sep",L21:L22))-((SUMIF(S21:S22,"Sep",P21:P22)+SUMIF(S21:S22,"Sep",O21:O22)))</f>
        <v>0</v>
      </c>
      <c r="E14" s="219">
        <f>SUMIF(S21:S22,"Sep",Q21:Q22)</f>
        <v>0</v>
      </c>
      <c r="F14" s="220"/>
      <c r="G14" s="221">
        <f>COUNTIF(S21:S22,"Sep")</f>
        <v>0</v>
      </c>
      <c r="H14" s="218">
        <f>SUMIF(S26:S27,"Sep",N26:N27)+SUMIF(S26:S27,"Sep",H26:H27)</f>
        <v>0</v>
      </c>
      <c r="I14" s="219">
        <f>(SUMIF(S26:S27,"Sep",L26:L27))-((SUMIF(S26:S27,"Sep",P26:P27)+SUMIF(S26:S27,"Sep",O26:O27)))</f>
        <v>0</v>
      </c>
      <c r="J14" s="219">
        <f>SUMIF(S26:S27,"Sep",Q26:Q27)</f>
        <v>0</v>
      </c>
      <c r="K14" s="220"/>
      <c r="L14" s="221">
        <f>COUNTIF(S26:S27,"Sep")</f>
        <v>0</v>
      </c>
      <c r="M14" s="218">
        <f>SUMIF(S31:S32,"Sep",N31:N32)+SUMIF(S31:S32,"Sep",H31:H32)</f>
        <v>0</v>
      </c>
      <c r="N14" s="219">
        <f>(SUMIF(S31:S32,"Sep",L31:L32))-((SUMIF(S31:S32,"Sep",P31:P32)+SUMIF(S31:S32,"Sep",O31:O32)))</f>
        <v>0</v>
      </c>
      <c r="O14" s="219">
        <f>SUMIF(S31:S32,"Sep",Q31:Q32)</f>
        <v>0</v>
      </c>
      <c r="P14" s="220"/>
      <c r="Q14" s="221">
        <f>COUNTIF(S31:S32,"Sep")</f>
        <v>0</v>
      </c>
      <c r="R14" s="218">
        <f>SUMIF(S36:S37,"Sep",N36:N37)+SUMIF(S36:S37,"Sep",H36:H37)</f>
        <v>0</v>
      </c>
      <c r="S14" s="219">
        <f>(SUMIF(S36:S37,"Sep",L36:L37))-((SUMIF(S36:S37,"Sep",P36:P37)+SUMIF(S36:S37,"Sep",O36:O37)))</f>
        <v>0</v>
      </c>
      <c r="T14" s="219">
        <f>SUMIF(S36:S37,"Sep",Q36:Q37)</f>
        <v>0</v>
      </c>
      <c r="U14" s="220"/>
      <c r="V14" s="221">
        <f>COUNTIF(S36:S37,"Sep")</f>
        <v>0</v>
      </c>
    </row>
    <row r="15" spans="2:22" x14ac:dyDescent="0.2">
      <c r="B15" s="83" t="s">
        <v>21</v>
      </c>
      <c r="C15" s="218">
        <f>SUMIF(S21:S22,"Oct",N21:N22)+SUMIF(S21:S22,"Oct",H21:H22)</f>
        <v>0</v>
      </c>
      <c r="D15" s="219">
        <f>(SUMIF(S21:S22,"Oct",L21:L22))-((SUMIF(S21:S22,"Oct",P21:P22)+SUMIF(S21:S22,"OCt",O21:O22)))</f>
        <v>0</v>
      </c>
      <c r="E15" s="219">
        <f>SUMIF(S21:S22,"Oct",Q21:Q22)</f>
        <v>0</v>
      </c>
      <c r="F15" s="220"/>
      <c r="G15" s="221">
        <f>COUNTIF(S21:S21,"Oct")</f>
        <v>0</v>
      </c>
      <c r="H15" s="218">
        <f>SUMIF(S26:S27,"Oct",N26:N27)+SUMIF(S26:S27,"Oct",H26:H27)</f>
        <v>0</v>
      </c>
      <c r="I15" s="219">
        <f>(SUMIF(S26:S27,"Oct",L26:L27))-((SUMIF(S26:S27,"Oct",P26:P27)+SUMIF(S26:S27,"Oct",O26:O27)))</f>
        <v>0</v>
      </c>
      <c r="J15" s="219">
        <f>SUMIF(S26:S27,"Oct",Q26:Q27)</f>
        <v>0</v>
      </c>
      <c r="K15" s="220"/>
      <c r="L15" s="221">
        <f>COUNTIF(S26:S27,"Oct")</f>
        <v>0</v>
      </c>
      <c r="M15" s="218">
        <f>SUMIF(S31:S32,"Oct",N31:N32)+SUMIF(S31:S32,"Oct",H31:H32)</f>
        <v>0</v>
      </c>
      <c r="N15" s="219">
        <f>(SUMIF(S31:S32,"Oct",L31:L32))-((SUMIF(S31:S32,"Oct",P31:P32)+SUMIF(S31:S32,"Oct",O31:O32)))</f>
        <v>0</v>
      </c>
      <c r="O15" s="219">
        <f>SUMIF(S31:S32,"Oct",Q31:Q32)</f>
        <v>0</v>
      </c>
      <c r="P15" s="220"/>
      <c r="Q15" s="221">
        <f>COUNTIF(S31:S32,"Oct")</f>
        <v>0</v>
      </c>
      <c r="R15" s="218">
        <f>SUMIF(S36:S37,"Oct",N36:N37)+SUMIF(S36:S37,"Oct",H36:H37)</f>
        <v>0</v>
      </c>
      <c r="S15" s="219">
        <f>(SUMIF(S36:S37,"Oct",L36:L37))-((SUMIF(S36:S37,"Oct",P36:P37)+SUMIF(S36:S37,"Oct",O36:O37)))</f>
        <v>0</v>
      </c>
      <c r="T15" s="219">
        <f>SUMIF(S36:S37,"Oct",Q36:Q37)</f>
        <v>0</v>
      </c>
      <c r="U15" s="220"/>
      <c r="V15" s="221">
        <f>COUNTIF(S36:S37,"Oct")</f>
        <v>0</v>
      </c>
    </row>
    <row r="16" spans="2:22" x14ac:dyDescent="0.2">
      <c r="B16" s="83" t="s">
        <v>22</v>
      </c>
      <c r="C16" s="218">
        <f>SUMIF(S21:S22,"Nov",N21:N22)+SUMIF(S21:S22,"Nov",H21:H22)</f>
        <v>0</v>
      </c>
      <c r="D16" s="219">
        <f>(SUMIF(S21:S22,"Nov",L21:L22))-((SUMIF(S21:S22,"Nov",P21:P22)+SUMIF(S21:S22,"Nov",O21:O22)))</f>
        <v>0</v>
      </c>
      <c r="E16" s="219">
        <f>SUMIF(S21:S22,"Nov",Q21:Q22)</f>
        <v>0</v>
      </c>
      <c r="F16" s="220"/>
      <c r="G16" s="221">
        <f>COUNTIF(S21:S22,"Nov")</f>
        <v>0</v>
      </c>
      <c r="H16" s="218">
        <f>SUMIF(S26:S27,"Nov",N26:N27)+SUMIF(S26:S27,"Nov",H26:H27)</f>
        <v>0</v>
      </c>
      <c r="I16" s="219">
        <f>(SUMIF(S26:S27,"Nov",L26:L27))-((SUMIF(S26:S27,"Nov",P26:P27)+SUMIF(S26:S27,"Nov",O26:O27)))</f>
        <v>0</v>
      </c>
      <c r="J16" s="219">
        <f>SUMIF(S26:S27,"Nov",Q26:Q27)</f>
        <v>0</v>
      </c>
      <c r="K16" s="220"/>
      <c r="L16" s="221">
        <f>COUNTIF(S26:S27,"Nov")</f>
        <v>0</v>
      </c>
      <c r="M16" s="218">
        <f>SUMIF(S31:S32,"Nov",N31:N32)+SUMIF(S31:S32,"Nov",H31:H32)</f>
        <v>0</v>
      </c>
      <c r="N16" s="219">
        <f>(SUMIF(S31:S32,"Nov",L31:L32))-((SUMIF(S31:S32,"Nov",P31:P32)+SUMIF(S31:S32,"Nov",O31:O32)))</f>
        <v>0</v>
      </c>
      <c r="O16" s="219">
        <f>SUMIF(S31:S32,"Nov",Q31:Q32)</f>
        <v>0</v>
      </c>
      <c r="P16" s="220"/>
      <c r="Q16" s="221">
        <f>COUNTIF(S31:S32,"Nov")</f>
        <v>0</v>
      </c>
      <c r="R16" s="218">
        <f>SUMIF(S36:S37,"Nov",N36:N37)+SUMIF(S36:S37,"Nov",H36:H37)</f>
        <v>0</v>
      </c>
      <c r="S16" s="219">
        <f>(SUMIF(S36:S37,"Nov",L36:L37))-((SUMIF(S36:S37,"Nov",P36:P37)+SUMIF(S36:S37,"Nov",O36:O37)))</f>
        <v>0</v>
      </c>
      <c r="T16" s="219">
        <f>SUMIF(S36:S37,"Nov",Q36:Q37)</f>
        <v>0</v>
      </c>
      <c r="U16" s="220"/>
      <c r="V16" s="221">
        <f>COUNTIF(S36:S37,"Nov")</f>
        <v>0</v>
      </c>
    </row>
    <row r="17" spans="2:27" x14ac:dyDescent="0.2">
      <c r="B17" s="83" t="s">
        <v>23</v>
      </c>
      <c r="C17" s="218">
        <f>SUMIF(S21:S22,"Dic",N21:N22)+SUMIF(S21:S22,"Dic",H21:H22)</f>
        <v>0</v>
      </c>
      <c r="D17" s="219">
        <f>(SUMIF(S21:S22,"Dic",L21:L22))-((SUMIF(S21:S22,"Dic",P21:P22)+SUMIF(S21:S22,"Dic",O21:O22)))</f>
        <v>0</v>
      </c>
      <c r="E17" s="219">
        <f>SUMIF(S21:S22,"Dic",Q21:Q22)</f>
        <v>0</v>
      </c>
      <c r="F17" s="220"/>
      <c r="G17" s="221">
        <f>COUNTIF(S21:S21,"Dic")</f>
        <v>0</v>
      </c>
      <c r="H17" s="218">
        <f>SUMIF(S26:S27,"Dic",N26:N27)+SUMIF(S26:S27,"Dic",H26:H27)</f>
        <v>0</v>
      </c>
      <c r="I17" s="219">
        <f>(SUMIF(S26:S27,"Dic",L26:L27))-((SUMIF(S26:S27,"Dic",P26:P27)+SUMIF(S26:S27,"Dic",O26:O27)))</f>
        <v>0</v>
      </c>
      <c r="J17" s="219">
        <f>SUMIF(S26:S27,"Dic",Q26:Q27)</f>
        <v>0</v>
      </c>
      <c r="K17" s="220"/>
      <c r="L17" s="221">
        <f>COUNTIF(S26:S27,"Dic")</f>
        <v>0</v>
      </c>
      <c r="M17" s="218">
        <f>SUMIF(S31:S32,"Dic",N31:N32)+SUMIF(S31:S32,"Dic",H31:H32)</f>
        <v>0</v>
      </c>
      <c r="N17" s="219">
        <f>(SUMIF(S31:S32,"Dic",L31:L32))-((SUMIF(S31:S32,"Dic",P31:P32)+SUMIF(S31:S32,"Dic",O31:O32)))</f>
        <v>0</v>
      </c>
      <c r="O17" s="219">
        <f>SUMIF(S31:S32,"Dic",Q31:Q32)</f>
        <v>0</v>
      </c>
      <c r="P17" s="220"/>
      <c r="Q17" s="221">
        <f>COUNTIF(S31:S32,"Dic")</f>
        <v>0</v>
      </c>
      <c r="R17" s="218">
        <f>SUMIF(S36:S37,"Dic",N36:N37)+SUMIF(S36:S37,"Dic",H36:H37)</f>
        <v>0</v>
      </c>
      <c r="S17" s="219">
        <f>(SUMIF(S36:S37,"Dic",L36:L37))-((SUMIF(S36:S37,"Dic",P36:P37)+SUMIF(S36:S37,"Dic",O36:O37)))</f>
        <v>0</v>
      </c>
      <c r="T17" s="219">
        <f>SUMIF(S36:S37,"Dic",Q36:Q37)</f>
        <v>0</v>
      </c>
      <c r="U17" s="220"/>
      <c r="V17" s="221">
        <f>COUNTIF(S36:S37,"Dic")</f>
        <v>0</v>
      </c>
    </row>
    <row r="18" spans="2:27" x14ac:dyDescent="0.2">
      <c r="B18" s="84" t="s">
        <v>42</v>
      </c>
      <c r="C18" s="87">
        <f>SUM(C6:C17)</f>
        <v>0</v>
      </c>
      <c r="D18" s="88">
        <f t="shared" ref="D18:E18" si="3">SUM(D6:D17)</f>
        <v>0</v>
      </c>
      <c r="E18" s="88">
        <f t="shared" si="3"/>
        <v>0</v>
      </c>
      <c r="F18" s="89" t="e">
        <f>E18/C18</f>
        <v>#DIV/0!</v>
      </c>
      <c r="G18" s="90">
        <f t="shared" ref="G18:J18" si="4">SUM(G6:G17)</f>
        <v>0</v>
      </c>
      <c r="H18" s="91">
        <f t="shared" si="4"/>
        <v>0</v>
      </c>
      <c r="I18" s="92">
        <f t="shared" si="4"/>
        <v>0</v>
      </c>
      <c r="J18" s="92">
        <f t="shared" si="4"/>
        <v>0</v>
      </c>
      <c r="K18" s="93" t="e">
        <f>J18/H18</f>
        <v>#DIV/0!</v>
      </c>
      <c r="L18" s="94">
        <f t="shared" ref="L18:N18" si="5">SUM(L6:L17)</f>
        <v>0</v>
      </c>
      <c r="M18" s="95">
        <f t="shared" si="5"/>
        <v>0</v>
      </c>
      <c r="N18" s="96">
        <f t="shared" si="5"/>
        <v>0</v>
      </c>
      <c r="O18" s="96">
        <f>SUM(O6:O17)</f>
        <v>0</v>
      </c>
      <c r="P18" s="97" t="e">
        <f>O18/M18</f>
        <v>#DIV/0!</v>
      </c>
      <c r="Q18" s="98">
        <f>SUM(Q6:Q17)</f>
        <v>0</v>
      </c>
      <c r="R18" s="99">
        <f t="shared" ref="R18:S18" si="6">SUM(R6:R17)</f>
        <v>0</v>
      </c>
      <c r="S18" s="100">
        <f t="shared" si="6"/>
        <v>0</v>
      </c>
      <c r="T18" s="100">
        <f>S18-R18</f>
        <v>0</v>
      </c>
      <c r="U18" s="101" t="e">
        <f>T18/R18</f>
        <v>#DIV/0!</v>
      </c>
      <c r="V18" s="102">
        <f>SUM(V6:V17)</f>
        <v>0</v>
      </c>
    </row>
    <row r="19" spans="2:27" s="222" customFormat="1" x14ac:dyDescent="0.2">
      <c r="C19" s="223"/>
      <c r="F19" s="224"/>
      <c r="G19" s="225"/>
      <c r="H19" s="223"/>
      <c r="I19" s="226"/>
      <c r="J19" s="226"/>
      <c r="K19" s="224"/>
      <c r="L19" s="224"/>
      <c r="M19" s="224"/>
    </row>
    <row r="20" spans="2:27" x14ac:dyDescent="0.2">
      <c r="B20" s="5" t="s">
        <v>9</v>
      </c>
      <c r="C20" s="2" t="s">
        <v>24</v>
      </c>
      <c r="D20" s="2" t="s">
        <v>95</v>
      </c>
      <c r="E20" s="2" t="s">
        <v>7</v>
      </c>
      <c r="F20" s="5" t="s">
        <v>2</v>
      </c>
      <c r="G20" s="3" t="s">
        <v>3</v>
      </c>
      <c r="H20" s="4" t="s">
        <v>122</v>
      </c>
      <c r="I20" s="2" t="s">
        <v>8</v>
      </c>
      <c r="J20" s="3" t="s">
        <v>4</v>
      </c>
      <c r="K20" s="3" t="s">
        <v>5</v>
      </c>
      <c r="L20" s="3" t="s">
        <v>123</v>
      </c>
      <c r="M20" s="4" t="s">
        <v>120</v>
      </c>
      <c r="N20" s="6" t="s">
        <v>103</v>
      </c>
      <c r="O20" s="6" t="s">
        <v>104</v>
      </c>
      <c r="P20" s="6" t="s">
        <v>89</v>
      </c>
      <c r="Q20" s="6" t="s">
        <v>11</v>
      </c>
      <c r="R20" s="6" t="s">
        <v>45</v>
      </c>
      <c r="S20" s="6" t="s">
        <v>73</v>
      </c>
      <c r="T20" s="6" t="s">
        <v>25</v>
      </c>
    </row>
    <row r="21" spans="2:27" ht="13.9" customHeight="1" x14ac:dyDescent="0.2">
      <c r="B21" s="247" t="s">
        <v>26</v>
      </c>
      <c r="C21" s="13"/>
      <c r="D21" s="154"/>
      <c r="E21" s="13"/>
      <c r="F21" s="143"/>
      <c r="G21" s="18"/>
      <c r="H21" s="12"/>
      <c r="I21" s="13"/>
      <c r="J21" s="18"/>
      <c r="K21" s="18"/>
      <c r="L21" s="12"/>
      <c r="M21" s="12"/>
      <c r="N21" s="12"/>
      <c r="O21" s="12"/>
      <c r="P21" s="12"/>
      <c r="Q21" s="12"/>
      <c r="R21" s="220"/>
      <c r="W21" s="219"/>
      <c r="X21" s="219"/>
    </row>
    <row r="22" spans="2:27" x14ac:dyDescent="0.2">
      <c r="B22" s="247"/>
      <c r="C22" s="13"/>
      <c r="D22" s="154"/>
      <c r="E22" s="13"/>
      <c r="F22" s="143"/>
      <c r="G22" s="18"/>
      <c r="H22" s="12"/>
      <c r="I22" s="13"/>
      <c r="J22" s="18"/>
      <c r="K22" s="18"/>
      <c r="L22" s="12"/>
      <c r="M22" s="12"/>
      <c r="N22" s="12"/>
      <c r="O22" s="12"/>
      <c r="P22" s="12"/>
      <c r="Q22" s="12"/>
      <c r="R22" s="220"/>
      <c r="W22" s="219"/>
      <c r="Z22" s="219"/>
    </row>
    <row r="23" spans="2:27" x14ac:dyDescent="0.2">
      <c r="B23" s="247"/>
      <c r="C23" s="15"/>
      <c r="D23" s="15" t="s">
        <v>69</v>
      </c>
      <c r="E23" s="132" t="s">
        <v>125</v>
      </c>
      <c r="F23" s="15" t="s">
        <v>31</v>
      </c>
      <c r="G23" s="15" t="s">
        <v>34</v>
      </c>
      <c r="H23" s="15" t="s">
        <v>124</v>
      </c>
      <c r="I23" s="132" t="s">
        <v>113</v>
      </c>
      <c r="J23" s="15" t="s">
        <v>35</v>
      </c>
      <c r="K23" s="15" t="s">
        <v>33</v>
      </c>
      <c r="L23" s="15" t="s">
        <v>121</v>
      </c>
      <c r="M23" s="15" t="s">
        <v>36</v>
      </c>
      <c r="N23" s="15" t="s">
        <v>105</v>
      </c>
      <c r="O23" s="15" t="s">
        <v>106</v>
      </c>
      <c r="P23" s="15" t="s">
        <v>89</v>
      </c>
      <c r="Q23" s="16" t="s">
        <v>32</v>
      </c>
      <c r="R23" s="16" t="s">
        <v>45</v>
      </c>
      <c r="S23" s="132" t="s">
        <v>36</v>
      </c>
      <c r="T23" s="132" t="s">
        <v>127</v>
      </c>
      <c r="AA23" s="219"/>
    </row>
    <row r="24" spans="2:27" x14ac:dyDescent="0.2">
      <c r="B24" s="247"/>
      <c r="C24" s="7"/>
      <c r="D24" s="157">
        <f>COUNTA(E21:E22)</f>
        <v>0</v>
      </c>
      <c r="E24" s="131">
        <f>H24+N24</f>
        <v>0</v>
      </c>
      <c r="F24" s="146">
        <f>SUM(F21:F22)</f>
        <v>0</v>
      </c>
      <c r="G24" s="19" t="e">
        <f>AVERAGE(G21:G22)</f>
        <v>#DIV/0!</v>
      </c>
      <c r="H24" s="20">
        <f>SUM(H21:H22)</f>
        <v>0</v>
      </c>
      <c r="I24" s="131">
        <f>L24-(O24+P24)</f>
        <v>0</v>
      </c>
      <c r="J24" s="19" t="e">
        <f>AVERAGE(J21:J22)</f>
        <v>#DIV/0!</v>
      </c>
      <c r="K24" s="19">
        <f t="shared" ref="K24:Q24" si="7">SUM(K21:K22)</f>
        <v>0</v>
      </c>
      <c r="L24" s="20">
        <f t="shared" si="7"/>
        <v>0</v>
      </c>
      <c r="M24" s="20">
        <f t="shared" si="7"/>
        <v>0</v>
      </c>
      <c r="N24" s="20">
        <f t="shared" si="7"/>
        <v>0</v>
      </c>
      <c r="O24" s="20">
        <f t="shared" si="7"/>
        <v>0</v>
      </c>
      <c r="P24" s="20">
        <f t="shared" si="7"/>
        <v>0</v>
      </c>
      <c r="Q24" s="20">
        <f t="shared" si="7"/>
        <v>0</v>
      </c>
      <c r="R24" s="110" t="e">
        <f>Q24/H24</f>
        <v>#DIV/0!</v>
      </c>
      <c r="S24" s="131">
        <f>SUM(P21:Q22)</f>
        <v>0</v>
      </c>
      <c r="T24" s="131">
        <f>I24-E24</f>
        <v>0</v>
      </c>
      <c r="V24" s="219"/>
      <c r="W24" s="219"/>
    </row>
    <row r="25" spans="2:27" x14ac:dyDescent="0.2">
      <c r="B25" s="5" t="s">
        <v>9</v>
      </c>
      <c r="C25" s="2" t="s">
        <v>24</v>
      </c>
      <c r="D25" s="2" t="s">
        <v>95</v>
      </c>
      <c r="E25" s="2" t="s">
        <v>7</v>
      </c>
      <c r="F25" s="5" t="s">
        <v>2</v>
      </c>
      <c r="G25" s="3" t="s">
        <v>3</v>
      </c>
      <c r="H25" s="4" t="s">
        <v>122</v>
      </c>
      <c r="I25" s="2" t="s">
        <v>8</v>
      </c>
      <c r="J25" s="3" t="s">
        <v>4</v>
      </c>
      <c r="K25" s="3" t="s">
        <v>5</v>
      </c>
      <c r="L25" s="3" t="s">
        <v>123</v>
      </c>
      <c r="M25" s="4" t="s">
        <v>120</v>
      </c>
      <c r="N25" s="6" t="s">
        <v>103</v>
      </c>
      <c r="O25" s="6" t="s">
        <v>104</v>
      </c>
      <c r="P25" s="6" t="s">
        <v>89</v>
      </c>
      <c r="Q25" s="6" t="s">
        <v>11</v>
      </c>
      <c r="R25" s="6" t="s">
        <v>45</v>
      </c>
      <c r="S25" s="6" t="s">
        <v>73</v>
      </c>
      <c r="T25" s="6" t="s">
        <v>25</v>
      </c>
    </row>
    <row r="26" spans="2:27" x14ac:dyDescent="0.2">
      <c r="B26" s="248" t="s">
        <v>28</v>
      </c>
      <c r="C26" s="13"/>
      <c r="D26" s="154"/>
      <c r="E26" s="13"/>
      <c r="F26" s="143"/>
      <c r="G26" s="18"/>
      <c r="H26" s="12"/>
      <c r="I26" s="13"/>
      <c r="J26" s="18"/>
      <c r="K26" s="18"/>
      <c r="L26" s="12"/>
      <c r="M26" s="12"/>
      <c r="N26" s="12"/>
      <c r="O26" s="12"/>
      <c r="P26" s="12"/>
      <c r="Q26" s="128"/>
      <c r="R26" s="220"/>
    </row>
    <row r="27" spans="2:27" x14ac:dyDescent="0.2">
      <c r="B27" s="248"/>
      <c r="C27" s="13"/>
      <c r="D27" s="154"/>
      <c r="E27" s="13"/>
      <c r="F27" s="143"/>
      <c r="G27" s="18"/>
      <c r="H27" s="12"/>
      <c r="I27" s="13"/>
      <c r="J27" s="18"/>
      <c r="K27" s="18"/>
      <c r="L27" s="12"/>
      <c r="M27" s="12"/>
      <c r="N27" s="12"/>
      <c r="O27" s="12"/>
      <c r="P27" s="12"/>
      <c r="Q27" s="128"/>
      <c r="R27" s="220"/>
    </row>
    <row r="28" spans="2:27" x14ac:dyDescent="0.2">
      <c r="B28" s="248"/>
      <c r="C28" s="15"/>
      <c r="D28" s="15" t="s">
        <v>69</v>
      </c>
      <c r="E28" s="132" t="s">
        <v>125</v>
      </c>
      <c r="F28" s="15" t="s">
        <v>31</v>
      </c>
      <c r="G28" s="15" t="s">
        <v>34</v>
      </c>
      <c r="H28" s="15" t="s">
        <v>124</v>
      </c>
      <c r="I28" s="132" t="s">
        <v>113</v>
      </c>
      <c r="J28" s="15" t="s">
        <v>35</v>
      </c>
      <c r="K28" s="15" t="s">
        <v>33</v>
      </c>
      <c r="L28" s="15" t="s">
        <v>121</v>
      </c>
      <c r="M28" s="15" t="s">
        <v>36</v>
      </c>
      <c r="N28" s="15" t="s">
        <v>105</v>
      </c>
      <c r="O28" s="15" t="s">
        <v>106</v>
      </c>
      <c r="P28" s="15" t="s">
        <v>89</v>
      </c>
      <c r="Q28" s="16" t="s">
        <v>32</v>
      </c>
      <c r="R28" s="16" t="s">
        <v>45</v>
      </c>
      <c r="S28" s="132" t="s">
        <v>36</v>
      </c>
      <c r="T28" s="132" t="s">
        <v>127</v>
      </c>
    </row>
    <row r="29" spans="2:27" x14ac:dyDescent="0.2">
      <c r="B29" s="248"/>
      <c r="C29" s="8"/>
      <c r="D29" s="160">
        <f>COUNTA(E26:E27)</f>
        <v>0</v>
      </c>
      <c r="E29" s="127">
        <f>H29+N29</f>
        <v>0</v>
      </c>
      <c r="F29" s="145">
        <f>SUM(F26:F27)</f>
        <v>0</v>
      </c>
      <c r="G29" s="21" t="e">
        <f>AVERAGE(G26:G27)</f>
        <v>#DIV/0!</v>
      </c>
      <c r="H29" s="22">
        <f>SUM(H26:H27)</f>
        <v>0</v>
      </c>
      <c r="I29" s="127">
        <f>L29-(O29+P29)</f>
        <v>0</v>
      </c>
      <c r="J29" s="21" t="e">
        <f>AVERAGE(J26:J27)</f>
        <v>#DIV/0!</v>
      </c>
      <c r="K29" s="22">
        <f t="shared" ref="K29:Q29" si="8">SUM(K26:K27)</f>
        <v>0</v>
      </c>
      <c r="L29" s="22">
        <f t="shared" si="8"/>
        <v>0</v>
      </c>
      <c r="M29" s="22">
        <f t="shared" si="8"/>
        <v>0</v>
      </c>
      <c r="N29" s="22">
        <f t="shared" si="8"/>
        <v>0</v>
      </c>
      <c r="O29" s="22">
        <f t="shared" si="8"/>
        <v>0</v>
      </c>
      <c r="P29" s="22">
        <f t="shared" si="8"/>
        <v>0</v>
      </c>
      <c r="Q29" s="22">
        <f t="shared" si="8"/>
        <v>0</v>
      </c>
      <c r="R29" s="111" t="e">
        <f>Q29/H29</f>
        <v>#DIV/0!</v>
      </c>
      <c r="S29" s="127">
        <f>SUM(P26:Q27)</f>
        <v>0</v>
      </c>
      <c r="T29" s="127">
        <f>I29-E29</f>
        <v>0</v>
      </c>
    </row>
    <row r="30" spans="2:27" x14ac:dyDescent="0.2">
      <c r="B30" s="5" t="s">
        <v>9</v>
      </c>
      <c r="C30" s="2" t="s">
        <v>24</v>
      </c>
      <c r="D30" s="2" t="s">
        <v>95</v>
      </c>
      <c r="E30" s="2" t="s">
        <v>7</v>
      </c>
      <c r="F30" s="5" t="s">
        <v>2</v>
      </c>
      <c r="G30" s="3" t="s">
        <v>3</v>
      </c>
      <c r="H30" s="4" t="s">
        <v>1</v>
      </c>
      <c r="I30" s="2" t="s">
        <v>8</v>
      </c>
      <c r="J30" s="3" t="s">
        <v>4</v>
      </c>
      <c r="K30" s="3" t="s">
        <v>5</v>
      </c>
      <c r="L30" s="3" t="s">
        <v>123</v>
      </c>
      <c r="M30" s="4" t="s">
        <v>120</v>
      </c>
      <c r="N30" s="6" t="s">
        <v>103</v>
      </c>
      <c r="O30" s="6" t="s">
        <v>104</v>
      </c>
      <c r="P30" s="6" t="s">
        <v>89</v>
      </c>
      <c r="Q30" s="6" t="s">
        <v>11</v>
      </c>
      <c r="R30" s="6" t="s">
        <v>45</v>
      </c>
      <c r="S30" s="6" t="s">
        <v>73</v>
      </c>
      <c r="T30" s="6" t="s">
        <v>25</v>
      </c>
    </row>
    <row r="31" spans="2:27" x14ac:dyDescent="0.2">
      <c r="B31" s="249" t="s">
        <v>40</v>
      </c>
      <c r="C31" s="13"/>
      <c r="D31" s="154"/>
      <c r="E31" s="13"/>
      <c r="F31" s="143"/>
      <c r="G31" s="18"/>
      <c r="H31" s="12"/>
      <c r="I31" s="13"/>
      <c r="J31" s="18"/>
      <c r="K31" s="18"/>
      <c r="L31" s="12"/>
      <c r="M31" s="12"/>
      <c r="N31" s="12"/>
      <c r="O31" s="12"/>
      <c r="P31" s="12"/>
      <c r="Q31" s="128"/>
      <c r="R31" s="220"/>
      <c r="X31" s="219"/>
    </row>
    <row r="32" spans="2:27" x14ac:dyDescent="0.2">
      <c r="B32" s="249"/>
      <c r="C32" s="13"/>
      <c r="D32" s="154"/>
      <c r="E32" s="13"/>
      <c r="F32" s="143"/>
      <c r="G32" s="18"/>
      <c r="H32" s="12"/>
      <c r="I32" s="13"/>
      <c r="J32" s="18"/>
      <c r="K32" s="18"/>
      <c r="L32" s="12"/>
      <c r="M32" s="12"/>
      <c r="N32" s="12"/>
      <c r="O32" s="12"/>
      <c r="P32" s="12"/>
      <c r="Q32" s="128"/>
      <c r="R32" s="220"/>
      <c r="W32" s="219"/>
      <c r="X32" s="219"/>
    </row>
    <row r="33" spans="2:24" x14ac:dyDescent="0.2">
      <c r="B33" s="249"/>
      <c r="C33" s="15"/>
      <c r="D33" s="15" t="s">
        <v>69</v>
      </c>
      <c r="E33" s="132" t="s">
        <v>125</v>
      </c>
      <c r="F33" s="15" t="s">
        <v>31</v>
      </c>
      <c r="G33" s="15" t="s">
        <v>34</v>
      </c>
      <c r="H33" s="15" t="s">
        <v>124</v>
      </c>
      <c r="I33" s="132" t="s">
        <v>113</v>
      </c>
      <c r="J33" s="15" t="s">
        <v>35</v>
      </c>
      <c r="K33" s="15" t="s">
        <v>33</v>
      </c>
      <c r="L33" s="15" t="s">
        <v>121</v>
      </c>
      <c r="M33" s="15" t="s">
        <v>36</v>
      </c>
      <c r="N33" s="15" t="s">
        <v>105</v>
      </c>
      <c r="O33" s="15" t="s">
        <v>106</v>
      </c>
      <c r="P33" s="15" t="s">
        <v>89</v>
      </c>
      <c r="Q33" s="16" t="s">
        <v>32</v>
      </c>
      <c r="R33" s="16" t="s">
        <v>45</v>
      </c>
      <c r="S33" s="132" t="s">
        <v>36</v>
      </c>
      <c r="T33" s="132" t="s">
        <v>127</v>
      </c>
      <c r="W33" s="219"/>
      <c r="X33" s="219"/>
    </row>
    <row r="34" spans="2:24" x14ac:dyDescent="0.2">
      <c r="B34" s="249"/>
      <c r="C34" s="9"/>
      <c r="D34" s="159">
        <f>COUNTA(E31:E32)</f>
        <v>0</v>
      </c>
      <c r="E34" s="129">
        <f>H34+N34</f>
        <v>0</v>
      </c>
      <c r="F34" s="147">
        <f>SUM(F31:F32)</f>
        <v>0</v>
      </c>
      <c r="G34" s="48" t="e">
        <f>AVERAGE(G31:G32)</f>
        <v>#DIV/0!</v>
      </c>
      <c r="H34" s="49">
        <f>SUM(H31:H32)</f>
        <v>0</v>
      </c>
      <c r="I34" s="129">
        <f>L34-(O34+P34)</f>
        <v>0</v>
      </c>
      <c r="J34" s="48" t="e">
        <f>AVERAGE(J31:J32)</f>
        <v>#DIV/0!</v>
      </c>
      <c r="K34" s="49">
        <f t="shared" ref="K34:Q34" si="9">SUM(K31:K32)</f>
        <v>0</v>
      </c>
      <c r="L34" s="49">
        <f t="shared" si="9"/>
        <v>0</v>
      </c>
      <c r="M34" s="49">
        <f t="shared" si="9"/>
        <v>0</v>
      </c>
      <c r="N34" s="49">
        <f t="shared" si="9"/>
        <v>0</v>
      </c>
      <c r="O34" s="49">
        <f t="shared" si="9"/>
        <v>0</v>
      </c>
      <c r="P34" s="49">
        <f t="shared" si="9"/>
        <v>0</v>
      </c>
      <c r="Q34" s="49">
        <f t="shared" si="9"/>
        <v>0</v>
      </c>
      <c r="R34" s="112" t="e">
        <f>Q34/H34</f>
        <v>#DIV/0!</v>
      </c>
      <c r="S34" s="129">
        <f>SUM(P31:Q32)</f>
        <v>0</v>
      </c>
      <c r="T34" s="129">
        <f>I34-E34</f>
        <v>0</v>
      </c>
    </row>
    <row r="35" spans="2:24" x14ac:dyDescent="0.2">
      <c r="B35" s="5" t="s">
        <v>9</v>
      </c>
      <c r="C35" s="2" t="s">
        <v>24</v>
      </c>
      <c r="D35" s="2" t="s">
        <v>95</v>
      </c>
      <c r="E35" s="2" t="s">
        <v>7</v>
      </c>
      <c r="F35" s="5" t="s">
        <v>2</v>
      </c>
      <c r="G35" s="3" t="s">
        <v>3</v>
      </c>
      <c r="H35" s="4" t="s">
        <v>1</v>
      </c>
      <c r="I35" s="2" t="s">
        <v>8</v>
      </c>
      <c r="J35" s="3" t="s">
        <v>4</v>
      </c>
      <c r="K35" s="3" t="s">
        <v>5</v>
      </c>
      <c r="L35" s="3" t="s">
        <v>123</v>
      </c>
      <c r="M35" s="4" t="s">
        <v>120</v>
      </c>
      <c r="N35" s="6" t="s">
        <v>103</v>
      </c>
      <c r="O35" s="6" t="s">
        <v>104</v>
      </c>
      <c r="P35" s="6" t="s">
        <v>89</v>
      </c>
      <c r="Q35" s="6" t="s">
        <v>11</v>
      </c>
      <c r="R35" s="6" t="s">
        <v>45</v>
      </c>
      <c r="S35" s="6" t="s">
        <v>73</v>
      </c>
      <c r="T35" s="6" t="s">
        <v>25</v>
      </c>
    </row>
    <row r="36" spans="2:24" x14ac:dyDescent="0.2">
      <c r="B36" s="250" t="s">
        <v>48</v>
      </c>
      <c r="C36" s="13"/>
      <c r="D36" s="154"/>
      <c r="E36" s="13"/>
      <c r="F36" s="143"/>
      <c r="G36" s="18"/>
      <c r="H36" s="12"/>
      <c r="I36" s="13"/>
      <c r="J36" s="18"/>
      <c r="K36" s="18"/>
      <c r="L36" s="12"/>
      <c r="M36" s="12"/>
      <c r="N36" s="12"/>
      <c r="O36" s="12"/>
      <c r="P36" s="12"/>
      <c r="Q36" s="128"/>
      <c r="R36" s="220"/>
    </row>
    <row r="37" spans="2:24" x14ac:dyDescent="0.2">
      <c r="B37" s="250"/>
      <c r="C37" s="13"/>
      <c r="D37" s="154"/>
      <c r="E37" s="13"/>
      <c r="F37" s="143"/>
      <c r="G37" s="18"/>
      <c r="H37" s="12"/>
      <c r="I37" s="13"/>
      <c r="J37" s="18"/>
      <c r="K37" s="18"/>
      <c r="L37" s="12"/>
      <c r="M37" s="12"/>
      <c r="N37" s="12"/>
      <c r="O37" s="12"/>
      <c r="P37" s="12"/>
      <c r="Q37" s="128"/>
      <c r="R37" s="220"/>
    </row>
    <row r="38" spans="2:24" x14ac:dyDescent="0.2">
      <c r="B38" s="250"/>
      <c r="C38" s="15"/>
      <c r="D38" s="15" t="s">
        <v>69</v>
      </c>
      <c r="E38" s="132" t="s">
        <v>125</v>
      </c>
      <c r="F38" s="15" t="s">
        <v>31</v>
      </c>
      <c r="G38" s="15" t="s">
        <v>34</v>
      </c>
      <c r="H38" s="15" t="s">
        <v>124</v>
      </c>
      <c r="I38" s="132" t="s">
        <v>113</v>
      </c>
      <c r="J38" s="15" t="s">
        <v>35</v>
      </c>
      <c r="K38" s="15" t="s">
        <v>33</v>
      </c>
      <c r="L38" s="15" t="s">
        <v>121</v>
      </c>
      <c r="M38" s="15" t="s">
        <v>36</v>
      </c>
      <c r="N38" s="15" t="s">
        <v>105</v>
      </c>
      <c r="O38" s="15" t="s">
        <v>106</v>
      </c>
      <c r="P38" s="15" t="s">
        <v>89</v>
      </c>
      <c r="Q38" s="16" t="s">
        <v>32</v>
      </c>
      <c r="R38" s="16" t="s">
        <v>45</v>
      </c>
      <c r="S38" s="132" t="s">
        <v>36</v>
      </c>
      <c r="T38" s="132" t="s">
        <v>127</v>
      </c>
    </row>
    <row r="39" spans="2:24" x14ac:dyDescent="0.2">
      <c r="B39" s="250"/>
      <c r="C39" s="26"/>
      <c r="D39" s="158">
        <f>COUNTA(E36:E37)</f>
        <v>0</v>
      </c>
      <c r="E39" s="127">
        <f>H39+N39</f>
        <v>0</v>
      </c>
      <c r="F39" s="148">
        <f>SUM(F36:F37)</f>
        <v>0</v>
      </c>
      <c r="G39" s="55" t="e">
        <f>AVERAGE(G36:G37)</f>
        <v>#DIV/0!</v>
      </c>
      <c r="H39" s="56">
        <f>SUM(H36:H37)</f>
        <v>0</v>
      </c>
      <c r="I39" s="127">
        <f>L39-(O39+P39)</f>
        <v>0</v>
      </c>
      <c r="J39" s="55" t="e">
        <f>AVERAGE(J36:J37)</f>
        <v>#DIV/0!</v>
      </c>
      <c r="K39" s="56">
        <f t="shared" ref="K39:Q39" si="10">SUM(K36:K37)</f>
        <v>0</v>
      </c>
      <c r="L39" s="56">
        <f t="shared" si="10"/>
        <v>0</v>
      </c>
      <c r="M39" s="56">
        <f t="shared" si="10"/>
        <v>0</v>
      </c>
      <c r="N39" s="56">
        <f t="shared" si="10"/>
        <v>0</v>
      </c>
      <c r="O39" s="56">
        <f t="shared" si="10"/>
        <v>0</v>
      </c>
      <c r="P39" s="56">
        <f t="shared" si="10"/>
        <v>0</v>
      </c>
      <c r="Q39" s="56">
        <f t="shared" si="10"/>
        <v>0</v>
      </c>
      <c r="R39" s="130" t="e">
        <f>Q39/H39</f>
        <v>#DIV/0!</v>
      </c>
      <c r="S39" s="127">
        <f>SUM(P36:Q37)</f>
        <v>0</v>
      </c>
      <c r="T39" s="127">
        <f>I39-E39</f>
        <v>0</v>
      </c>
    </row>
    <row r="40" spans="2:24" x14ac:dyDescent="0.2">
      <c r="B40" s="227"/>
      <c r="C40" s="113"/>
      <c r="D40" s="113"/>
      <c r="E40" s="228"/>
      <c r="F40" s="229"/>
      <c r="G40" s="227"/>
      <c r="H40" s="230"/>
      <c r="I40" s="230"/>
      <c r="J40" s="228"/>
      <c r="K40" s="228"/>
      <c r="L40" s="228"/>
      <c r="M40" s="228"/>
      <c r="N40" s="228"/>
      <c r="O40" s="231"/>
      <c r="P40" s="228"/>
      <c r="Q40" s="231"/>
      <c r="R40" s="231"/>
      <c r="S40" s="231"/>
      <c r="T40" s="231"/>
    </row>
    <row r="41" spans="2:24" x14ac:dyDescent="0.2">
      <c r="B41" s="232"/>
      <c r="C41" s="216"/>
      <c r="E41" s="219"/>
      <c r="F41" s="233"/>
      <c r="G41" s="232"/>
      <c r="H41" s="234"/>
      <c r="J41" s="219"/>
      <c r="M41" s="216"/>
    </row>
    <row r="42" spans="2:24" x14ac:dyDescent="0.2">
      <c r="B42" s="232"/>
      <c r="C42" s="216"/>
      <c r="E42" s="219"/>
      <c r="F42" s="233"/>
      <c r="G42" s="232"/>
      <c r="H42" s="234"/>
      <c r="J42" s="219"/>
      <c r="M42" s="216"/>
    </row>
    <row r="43" spans="2:24" x14ac:dyDescent="0.2">
      <c r="B43" s="232"/>
      <c r="C43" s="216"/>
      <c r="E43" s="219"/>
      <c r="F43" s="233"/>
      <c r="G43" s="232"/>
      <c r="H43" s="234"/>
      <c r="J43" s="219"/>
      <c r="M43" s="216"/>
    </row>
    <row r="44" spans="2:24" x14ac:dyDescent="0.2">
      <c r="B44" s="232"/>
      <c r="C44" s="216"/>
      <c r="E44" s="219"/>
      <c r="F44" s="233"/>
      <c r="G44" s="232"/>
      <c r="H44" s="234"/>
      <c r="J44" s="219"/>
      <c r="M44" s="216"/>
    </row>
    <row r="45" spans="2:24" x14ac:dyDescent="0.2">
      <c r="B45" s="232"/>
      <c r="C45" s="216"/>
      <c r="E45" s="219"/>
      <c r="F45" s="233"/>
      <c r="G45" s="232"/>
      <c r="H45" s="234"/>
      <c r="J45" s="219"/>
      <c r="M45" s="216"/>
    </row>
    <row r="46" spans="2:24" x14ac:dyDescent="0.2">
      <c r="B46" s="232"/>
      <c r="C46" s="216"/>
      <c r="E46" s="219"/>
      <c r="F46" s="233"/>
      <c r="G46" s="232"/>
      <c r="H46" s="234"/>
      <c r="J46" s="219"/>
      <c r="M46" s="216"/>
    </row>
    <row r="47" spans="2:24" x14ac:dyDescent="0.2">
      <c r="B47" s="232"/>
      <c r="C47" s="216"/>
      <c r="E47" s="219"/>
      <c r="F47" s="233"/>
      <c r="G47" s="232"/>
      <c r="H47" s="234"/>
      <c r="J47" s="219"/>
      <c r="M47" s="216"/>
    </row>
    <row r="48" spans="2:24" x14ac:dyDescent="0.2">
      <c r="B48" s="232"/>
      <c r="C48" s="216"/>
      <c r="E48" s="219"/>
      <c r="F48" s="233"/>
      <c r="G48" s="232"/>
      <c r="H48" s="234"/>
      <c r="J48" s="219"/>
      <c r="M48" s="216"/>
    </row>
    <row r="49" spans="2:13" x14ac:dyDescent="0.2">
      <c r="B49" s="232"/>
      <c r="C49" s="216"/>
      <c r="E49" s="219"/>
      <c r="F49" s="233"/>
      <c r="G49" s="232"/>
      <c r="H49" s="234"/>
      <c r="J49" s="219"/>
      <c r="M49" s="216"/>
    </row>
    <row r="50" spans="2:13" x14ac:dyDescent="0.2">
      <c r="B50" s="232"/>
      <c r="C50" s="216"/>
      <c r="E50" s="219"/>
      <c r="F50" s="233"/>
      <c r="G50" s="232"/>
      <c r="H50" s="234"/>
      <c r="J50" s="219"/>
      <c r="M50" s="216"/>
    </row>
    <row r="51" spans="2:13" x14ac:dyDescent="0.2">
      <c r="B51" s="232"/>
      <c r="C51" s="216"/>
      <c r="E51" s="219"/>
      <c r="F51" s="233"/>
      <c r="G51" s="232"/>
      <c r="H51" s="234"/>
      <c r="J51" s="219"/>
      <c r="M51" s="216"/>
    </row>
    <row r="52" spans="2:13" x14ac:dyDescent="0.2">
      <c r="B52" s="232"/>
      <c r="C52" s="216"/>
      <c r="E52" s="219"/>
      <c r="F52" s="233"/>
      <c r="G52" s="232"/>
      <c r="H52" s="234"/>
      <c r="J52" s="219"/>
      <c r="M52" s="216"/>
    </row>
    <row r="53" spans="2:13" x14ac:dyDescent="0.2">
      <c r="B53" s="232"/>
      <c r="C53" s="216"/>
      <c r="E53" s="219"/>
      <c r="F53" s="233"/>
      <c r="G53" s="232"/>
      <c r="H53" s="234"/>
      <c r="J53" s="219"/>
      <c r="M53" s="216"/>
    </row>
    <row r="54" spans="2:13" x14ac:dyDescent="0.2">
      <c r="B54" s="232"/>
      <c r="C54" s="216"/>
      <c r="E54" s="219"/>
      <c r="F54" s="233"/>
      <c r="G54" s="232"/>
      <c r="H54" s="234"/>
      <c r="J54" s="219"/>
      <c r="M54" s="216"/>
    </row>
    <row r="55" spans="2:13" x14ac:dyDescent="0.2">
      <c r="B55" s="232"/>
      <c r="C55" s="216"/>
      <c r="E55" s="219"/>
      <c r="F55" s="233"/>
      <c r="G55" s="232"/>
      <c r="H55" s="234"/>
      <c r="J55" s="219"/>
      <c r="M55" s="216"/>
    </row>
    <row r="56" spans="2:13" x14ac:dyDescent="0.2">
      <c r="B56" s="232"/>
      <c r="C56" s="216"/>
      <c r="E56" s="219"/>
      <c r="F56" s="233"/>
      <c r="G56" s="232"/>
      <c r="H56" s="234"/>
      <c r="J56" s="219"/>
      <c r="M56" s="216"/>
    </row>
    <row r="57" spans="2:13" x14ac:dyDescent="0.2">
      <c r="B57" s="232"/>
      <c r="C57" s="216"/>
      <c r="E57" s="219"/>
      <c r="F57" s="233"/>
      <c r="G57" s="232"/>
      <c r="H57" s="234"/>
      <c r="J57" s="219"/>
      <c r="M57" s="216"/>
    </row>
    <row r="58" spans="2:13" x14ac:dyDescent="0.2">
      <c r="B58" s="232"/>
      <c r="C58" s="216"/>
      <c r="E58" s="219"/>
      <c r="F58" s="233"/>
      <c r="G58" s="232"/>
      <c r="H58" s="234"/>
      <c r="J58" s="219"/>
      <c r="M58" s="216"/>
    </row>
    <row r="59" spans="2:13" x14ac:dyDescent="0.2">
      <c r="B59" s="232"/>
      <c r="C59" s="216"/>
      <c r="E59" s="219"/>
      <c r="F59" s="233"/>
      <c r="G59" s="232"/>
      <c r="H59" s="234"/>
      <c r="J59" s="219"/>
      <c r="M59" s="216"/>
    </row>
    <row r="60" spans="2:13" x14ac:dyDescent="0.2">
      <c r="B60" s="232"/>
      <c r="C60" s="216"/>
      <c r="E60" s="219"/>
      <c r="F60" s="233"/>
      <c r="G60" s="232"/>
      <c r="H60" s="234"/>
      <c r="J60" s="219"/>
      <c r="M60" s="216"/>
    </row>
    <row r="61" spans="2:13" x14ac:dyDescent="0.2">
      <c r="B61" s="232"/>
      <c r="C61" s="216"/>
      <c r="E61" s="219"/>
      <c r="F61" s="233"/>
      <c r="G61" s="232"/>
      <c r="H61" s="234"/>
      <c r="J61" s="219"/>
      <c r="M61" s="216"/>
    </row>
    <row r="62" spans="2:13" x14ac:dyDescent="0.2">
      <c r="B62" s="232"/>
      <c r="C62" s="216"/>
      <c r="E62" s="219"/>
      <c r="F62" s="233"/>
      <c r="G62" s="232"/>
      <c r="H62" s="234"/>
      <c r="J62" s="219"/>
      <c r="M62" s="216"/>
    </row>
    <row r="63" spans="2:13" x14ac:dyDescent="0.2">
      <c r="B63" s="232"/>
      <c r="C63" s="216"/>
      <c r="E63" s="219"/>
      <c r="F63" s="233"/>
      <c r="G63" s="232"/>
      <c r="H63" s="234"/>
      <c r="J63" s="219"/>
      <c r="M63" s="216"/>
    </row>
    <row r="64" spans="2:13" x14ac:dyDescent="0.2">
      <c r="B64" s="232"/>
      <c r="C64" s="216"/>
      <c r="E64" s="219"/>
      <c r="F64" s="233"/>
      <c r="G64" s="232"/>
      <c r="H64" s="234"/>
      <c r="J64" s="219"/>
      <c r="M64" s="216"/>
    </row>
    <row r="65" spans="2:13" x14ac:dyDescent="0.2">
      <c r="B65" s="232"/>
      <c r="C65" s="216"/>
      <c r="E65" s="219"/>
      <c r="F65" s="233"/>
      <c r="G65" s="232"/>
      <c r="H65" s="234"/>
      <c r="J65" s="219"/>
      <c r="M65" s="216"/>
    </row>
    <row r="66" spans="2:13" x14ac:dyDescent="0.2">
      <c r="B66" s="232"/>
      <c r="C66" s="216"/>
      <c r="E66" s="219"/>
      <c r="F66" s="233"/>
      <c r="G66" s="232"/>
      <c r="H66" s="234"/>
      <c r="J66" s="219"/>
      <c r="M66" s="216"/>
    </row>
    <row r="67" spans="2:13" x14ac:dyDescent="0.2">
      <c r="B67" s="232"/>
      <c r="C67" s="216"/>
      <c r="E67" s="219"/>
      <c r="F67" s="233"/>
      <c r="G67" s="232"/>
      <c r="H67" s="234"/>
      <c r="J67" s="219"/>
      <c r="M67" s="216"/>
    </row>
    <row r="68" spans="2:13" x14ac:dyDescent="0.2">
      <c r="B68" s="232"/>
      <c r="C68" s="216"/>
      <c r="E68" s="219"/>
      <c r="F68" s="233"/>
      <c r="G68" s="232"/>
      <c r="H68" s="234"/>
      <c r="J68" s="219"/>
      <c r="M68" s="216"/>
    </row>
    <row r="69" spans="2:13" x14ac:dyDescent="0.2">
      <c r="B69" s="232"/>
      <c r="C69" s="216"/>
      <c r="E69" s="219"/>
      <c r="F69" s="233"/>
      <c r="G69" s="232"/>
      <c r="H69" s="234"/>
      <c r="J69" s="219"/>
      <c r="M69" s="216"/>
    </row>
    <row r="70" spans="2:13" x14ac:dyDescent="0.2">
      <c r="B70" s="232"/>
      <c r="C70" s="216"/>
      <c r="E70" s="219"/>
      <c r="F70" s="233"/>
      <c r="G70" s="232"/>
      <c r="H70" s="234"/>
      <c r="J70" s="219"/>
      <c r="M70" s="216"/>
    </row>
    <row r="71" spans="2:13" x14ac:dyDescent="0.2">
      <c r="B71" s="232"/>
      <c r="C71" s="216"/>
      <c r="E71" s="219"/>
      <c r="F71" s="233"/>
      <c r="G71" s="232"/>
      <c r="H71" s="234"/>
      <c r="J71" s="219"/>
      <c r="M71" s="216"/>
    </row>
    <row r="72" spans="2:13" x14ac:dyDescent="0.2">
      <c r="B72" s="232"/>
      <c r="C72" s="216"/>
      <c r="E72" s="219"/>
      <c r="F72" s="233"/>
      <c r="G72" s="232"/>
      <c r="H72" s="234"/>
      <c r="J72" s="219"/>
      <c r="M72" s="216"/>
    </row>
    <row r="73" spans="2:13" x14ac:dyDescent="0.2">
      <c r="B73" s="232"/>
      <c r="C73" s="216"/>
      <c r="E73" s="219"/>
      <c r="F73" s="233"/>
      <c r="G73" s="232"/>
      <c r="H73" s="234"/>
      <c r="J73" s="219"/>
      <c r="M73" s="216"/>
    </row>
    <row r="74" spans="2:13" x14ac:dyDescent="0.2">
      <c r="B74" s="232"/>
      <c r="C74" s="216"/>
      <c r="E74" s="219"/>
      <c r="F74" s="233"/>
      <c r="G74" s="232"/>
      <c r="H74" s="234"/>
      <c r="J74" s="219"/>
      <c r="M74" s="216"/>
    </row>
    <row r="75" spans="2:13" x14ac:dyDescent="0.2">
      <c r="B75" s="232"/>
      <c r="C75" s="216"/>
      <c r="E75" s="219"/>
      <c r="F75" s="233"/>
      <c r="G75" s="232"/>
      <c r="H75" s="234"/>
      <c r="J75" s="219"/>
      <c r="M75" s="216"/>
    </row>
  </sheetData>
  <mergeCells count="9">
    <mergeCell ref="H2:I2"/>
    <mergeCell ref="C4:G4"/>
    <mergeCell ref="H4:L4"/>
    <mergeCell ref="M4:Q4"/>
    <mergeCell ref="R4:V4"/>
    <mergeCell ref="B21:B24"/>
    <mergeCell ref="B26:B29"/>
    <mergeCell ref="B31:B34"/>
    <mergeCell ref="B36:B39"/>
  </mergeCells>
  <conditionalFormatting sqref="C31:P32 R31:T32">
    <cfRule type="expression" dxfId="37" priority="14">
      <formula>$T31="Abierta"</formula>
    </cfRule>
    <cfRule type="expression" dxfId="36" priority="15">
      <formula>$T31="Programada"</formula>
    </cfRule>
    <cfRule type="expression" dxfId="35" priority="16">
      <formula>$T31="Cerrada"</formula>
    </cfRule>
  </conditionalFormatting>
  <conditionalFormatting sqref="C36:P37 R36:T37">
    <cfRule type="expression" dxfId="34" priority="3">
      <formula>$T36="Abierta"</formula>
    </cfRule>
    <cfRule type="expression" dxfId="33" priority="4">
      <formula>$T36="Programada"</formula>
    </cfRule>
    <cfRule type="expression" dxfId="32" priority="5">
      <formula>$T36="Cerrada"</formula>
    </cfRule>
  </conditionalFormatting>
  <conditionalFormatting sqref="C21:T21">
    <cfRule type="expression" dxfId="31" priority="41">
      <formula>$T21="Cerrada"</formula>
    </cfRule>
    <cfRule type="expression" dxfId="30" priority="40">
      <formula>$T21="Programada"</formula>
    </cfRule>
    <cfRule type="expression" dxfId="29" priority="39">
      <formula>$T21="Abierta"</formula>
    </cfRule>
  </conditionalFormatting>
  <conditionalFormatting sqref="C22:T22">
    <cfRule type="expression" dxfId="28" priority="30">
      <formula>$T22="Cerrada"</formula>
    </cfRule>
    <cfRule type="expression" dxfId="27" priority="29">
      <formula>$T22="Programada"</formula>
    </cfRule>
    <cfRule type="expression" dxfId="26" priority="28">
      <formula>$T22="Abierta"</formula>
    </cfRule>
  </conditionalFormatting>
  <conditionalFormatting sqref="C26:T27">
    <cfRule type="expression" dxfId="25" priority="26">
      <formula>$T26="Programada"</formula>
    </cfRule>
    <cfRule type="expression" dxfId="24" priority="27">
      <formula>$T26="Cerrada"</formula>
    </cfRule>
    <cfRule type="expression" dxfId="23" priority="25">
      <formula>$T26="Abierta"</formula>
    </cfRule>
  </conditionalFormatting>
  <conditionalFormatting sqref="C6:V17">
    <cfRule type="cellIs" dxfId="22" priority="52" operator="equal">
      <formula>0</formula>
    </cfRule>
  </conditionalFormatting>
  <conditionalFormatting sqref="M21:M22">
    <cfRule type="expression" dxfId="21" priority="32">
      <formula>$T21="Cerrada"</formula>
    </cfRule>
    <cfRule type="expression" dxfId="20" priority="33">
      <formula>$T21="Abierta"</formula>
    </cfRule>
    <cfRule type="expression" dxfId="19" priority="31">
      <formula>$T21="Programada"</formula>
    </cfRule>
  </conditionalFormatting>
  <conditionalFormatting sqref="Q21:Q22">
    <cfRule type="cellIs" dxfId="18" priority="17" operator="lessThan">
      <formula>0</formula>
    </cfRule>
    <cfRule type="cellIs" dxfId="17" priority="18" operator="greaterThan">
      <formula>0</formula>
    </cfRule>
  </conditionalFormatting>
  <conditionalFormatting sqref="Q26:Q27">
    <cfRule type="cellIs" dxfId="16" priority="22" operator="greaterThan">
      <formula>0</formula>
    </cfRule>
    <cfRule type="cellIs" dxfId="15" priority="21" operator="lessThan">
      <formula>0</formula>
    </cfRule>
    <cfRule type="cellIs" dxfId="14" priority="47" operator="lessThan">
      <formula>0</formula>
    </cfRule>
    <cfRule type="cellIs" dxfId="13" priority="48" operator="greaterThan">
      <formula>0</formula>
    </cfRule>
  </conditionalFormatting>
  <conditionalFormatting sqref="Q31:Q32">
    <cfRule type="expression" dxfId="12" priority="13">
      <formula>$S31="Cerrada"</formula>
    </cfRule>
    <cfRule type="cellIs" dxfId="11" priority="9" operator="lessThan">
      <formula>0</formula>
    </cfRule>
    <cfRule type="cellIs" dxfId="10" priority="10" operator="greaterThan">
      <formula>0</formula>
    </cfRule>
    <cfRule type="expression" dxfId="9" priority="11">
      <formula>$S31="Abierta"</formula>
    </cfRule>
    <cfRule type="expression" dxfId="8" priority="12">
      <formula>$S31="Programada"</formula>
    </cfRule>
  </conditionalFormatting>
  <conditionalFormatting sqref="Q36:Q37">
    <cfRule type="cellIs" dxfId="7" priority="2" operator="greaterThan">
      <formula>0</formula>
    </cfRule>
    <cfRule type="expression" dxfId="6" priority="6">
      <formula>$S36="Abierta"</formula>
    </cfRule>
    <cfRule type="expression" dxfId="5" priority="8">
      <formula>$S36="Cerrada"</formula>
    </cfRule>
    <cfRule type="expression" dxfId="4" priority="7">
      <formula>$S36="Programada"</formula>
    </cfRule>
    <cfRule type="cellIs" dxfId="3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General</vt:lpstr>
      <vt:lpstr>Operaciones</vt:lpstr>
      <vt:lpstr>Op.por Valor</vt:lpstr>
      <vt:lpstr>Efectivo</vt:lpstr>
      <vt:lpstr>Comisiones</vt:lpstr>
      <vt:lpstr>Dividendos</vt:lpstr>
      <vt:lpstr>2026</vt:lpstr>
      <vt:lpstr>2025</vt:lpstr>
      <vt:lpstr>Listas</vt:lpstr>
      <vt:lpstr>PlantillaAño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Miguel Angel Ruiz de Valbuena Quejigo</cp:lastModifiedBy>
  <dcterms:created xsi:type="dcterms:W3CDTF">2015-06-05T18:19:34Z</dcterms:created>
  <dcterms:modified xsi:type="dcterms:W3CDTF">2026-04-13T17:45:40Z</dcterms:modified>
</cp:coreProperties>
</file>